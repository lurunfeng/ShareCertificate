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1"/>
  </bookViews>
  <sheets>
    <sheet name="总投入" sheetId="2" r:id="rId1"/>
    <sheet name="清单" sheetId="1" r:id="rId2"/>
    <sheet name="已出售" sheetId="3" r:id="rId3"/>
    <sheet name="自选股" sheetId="4" r:id="rId4"/>
  </sheets>
  <definedNames>
    <definedName name="_xlnm._FilterDatabase" localSheetId="1" hidden="1">清单!$B$1:$I$103</definedName>
    <definedName name="_xlnm._FilterDatabase" localSheetId="2" hidden="1">已出售!$C$1:$D$4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<sst xmlns="http://schemas.openxmlformats.org/spreadsheetml/2006/main" count="188" uniqueCount="75">
  <si>
    <t>时间</t>
  </si>
  <si>
    <t>当前本金</t>
  </si>
  <si>
    <t>追加前金额</t>
  </si>
  <si>
    <t>追加金额</t>
  </si>
  <si>
    <t>转出金额</t>
  </si>
  <si>
    <t>当前亏损</t>
  </si>
  <si>
    <t>总金额</t>
  </si>
  <si>
    <t>编号</t>
  </si>
  <si>
    <t>编码</t>
  </si>
  <si>
    <t>名称</t>
  </si>
  <si>
    <t>购入/出售时间</t>
  </si>
  <si>
    <t>股价</t>
  </si>
  <si>
    <t>股数</t>
  </si>
  <si>
    <t>成本</t>
  </si>
  <si>
    <t>状态</t>
  </si>
  <si>
    <t>建议</t>
  </si>
  <si>
    <t>华灿光电</t>
  </si>
  <si>
    <t>持有</t>
  </si>
  <si>
    <t>等待反弹出售</t>
  </si>
  <si>
    <t>山西焦化</t>
  </si>
  <si>
    <t>在7月中旬等待补仓，或者低于3.3后补仓，看情况</t>
  </si>
  <si>
    <t>000751</t>
  </si>
  <si>
    <t>锌业股份</t>
  </si>
  <si>
    <t>售出</t>
  </si>
  <si>
    <t>南京证券</t>
  </si>
  <si>
    <t>长期持有不做变动</t>
  </si>
  <si>
    <t>古越龙山</t>
  </si>
  <si>
    <t>低于8块的时候可以补仓，最多补仓1000股，在高于8块的时候售出进行做T</t>
  </si>
  <si>
    <t>000019</t>
  </si>
  <si>
    <t>深粮控股</t>
  </si>
  <si>
    <t>低于6块的时候补仓1000</t>
  </si>
  <si>
    <t>中国西电</t>
  </si>
  <si>
    <t>低于14补仓</t>
  </si>
  <si>
    <t>电魂网络</t>
  </si>
  <si>
    <t>持有不做变动 等带反弹</t>
  </si>
  <si>
    <t>昆药集团</t>
  </si>
  <si>
    <t>在8.5左右的时候进行补仓，9块左右进行售出做T，每次600股</t>
  </si>
  <si>
    <t>航天电子</t>
  </si>
  <si>
    <t>暂不做任何的操作，但是如果低于</t>
  </si>
  <si>
    <t>中信建投</t>
  </si>
  <si>
    <t>1、6.19出售2400,31元每股
2、6.29买入1000股，29.3</t>
  </si>
  <si>
    <t>002716</t>
  </si>
  <si>
    <t>湖南白银</t>
  </si>
  <si>
    <t>也是在8~8.5之间 如果有余额就补仓1000股左右</t>
  </si>
  <si>
    <t>江龙船艇</t>
  </si>
  <si>
    <t>不做任何的处理 长期持有</t>
  </si>
  <si>
    <t>泰胜风能</t>
  </si>
  <si>
    <t>暂不做处理，长期持有</t>
  </si>
  <si>
    <t>黄河旋风</t>
  </si>
  <si>
    <t>短期持有，升值5%以上可以考虑售出</t>
  </si>
  <si>
    <t>ST闻泰</t>
  </si>
  <si>
    <t>等待盈利后就出售，5%这个点吧 不过可能等不到了，那就持有</t>
  </si>
  <si>
    <t>中国东航</t>
  </si>
  <si>
    <t>华微电子</t>
  </si>
  <si>
    <t>000725</t>
  </si>
  <si>
    <t>京东方Ａ</t>
  </si>
  <si>
    <t>出手时间</t>
  </si>
  <si>
    <t>股票代码</t>
  </si>
  <si>
    <t>股票名称</t>
  </si>
  <si>
    <t>总股数</t>
  </si>
  <si>
    <t>买入价</t>
  </si>
  <si>
    <t>出手价</t>
  </si>
  <si>
    <t>备注</t>
  </si>
  <si>
    <t>手续费</t>
  </si>
  <si>
    <t>盈亏</t>
  </si>
  <si>
    <t>订正后盈亏</t>
  </si>
  <si>
    <t>月度盈亏</t>
  </si>
  <si>
    <t>季度盈亏</t>
  </si>
  <si>
    <t>单次购入单次售出</t>
  </si>
  <si>
    <t>6.09购入3400售出2400</t>
  </si>
  <si>
    <t>总盈亏</t>
  </si>
  <si>
    <t>当前股价</t>
  </si>
  <si>
    <t>预测最低股价</t>
  </si>
  <si>
    <t>3.5~4</t>
  </si>
  <si>
    <t>工商银行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</si>
</sst>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8" applyNumberFormat="0" applyAlignment="0" applyProtection="0">
      <alignment vertical="center"/>
    </xf>
    <xf numFmtId="0" fontId="11" fillId="5" borderId="9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6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14" fontId="0" fillId="0" borderId="1" xfId="0" applyNumberForma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vertical="center"/>
    </xf>
    <xf numFmtId="0" fontId="0" fillId="2" borderId="1" xfId="0" applyFill="1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2" borderId="1" xfId="0" applyFill="1" applyBorder="1" applyAlignment="1">
      <alignment horizontal="right" vertical="center"/>
    </xf>
    <xf numFmtId="14" fontId="0" fillId="2" borderId="1" xfId="0" applyNumberFormat="1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14" fontId="0" fillId="2" borderId="1" xfId="0" applyNumberFormat="1" applyFill="1" applyBorder="1">
      <alignment vertical="center"/>
    </xf>
    <xf numFmtId="0" fontId="0" fillId="2" borderId="1" xfId="0" applyFill="1" applyBorder="1" applyAlignment="1">
      <alignment horizontal="left" vertical="center"/>
    </xf>
    <xf numFmtId="0" fontId="1" fillId="2" borderId="1" xfId="0" applyFont="1" applyFill="1" applyBorder="1" applyAlignment="1" quotePrefix="1">
      <alignment horizontal="right" vertical="center"/>
    </xf>
    <xf numFmtId="0" fontId="0" fillId="0" borderId="1" xfId="0" applyBorder="1" applyAlignment="1" quotePrefix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G8" sqref="G8"/>
    </sheetView>
  </sheetViews>
  <sheetFormatPr defaultColWidth="9" defaultRowHeight="13.5" outlineLevelRow="7" outlineLevelCol="6"/>
  <cols>
    <col min="1" max="1" width="10.375" customWidth="1"/>
    <col min="2" max="2" width="8.875" customWidth="1"/>
    <col min="3" max="3" width="10.875" customWidth="1"/>
    <col min="4" max="6" width="8.875" customWidth="1"/>
  </cols>
  <sheetData>
    <row r="1" spans="1: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>
      <c r="A2" s="6">
        <v>46096</v>
      </c>
      <c r="B2" s="5">
        <f t="shared" ref="B2:B8" si="0">SUM(D2+C2)</f>
        <v>225842</v>
      </c>
      <c r="C2" s="5">
        <v>0</v>
      </c>
      <c r="D2" s="5">
        <v>225842</v>
      </c>
      <c r="E2" s="5">
        <v>0</v>
      </c>
      <c r="F2" s="5">
        <v>11837</v>
      </c>
      <c r="G2" s="5">
        <f t="shared" ref="G2:G8" si="1">SUM(B2+F2-E2)</f>
        <v>237679</v>
      </c>
    </row>
    <row r="3" spans="1:7">
      <c r="A3" s="6">
        <v>46107</v>
      </c>
      <c r="B3" s="5">
        <f t="shared" si="0"/>
        <v>236842</v>
      </c>
      <c r="C3" s="5">
        <f t="shared" ref="C3:C8" si="2">B2</f>
        <v>225842</v>
      </c>
      <c r="D3" s="5">
        <v>11000</v>
      </c>
      <c r="E3" s="5">
        <v>0</v>
      </c>
      <c r="F3" s="5">
        <v>11837</v>
      </c>
      <c r="G3" s="5">
        <f t="shared" si="1"/>
        <v>248679</v>
      </c>
    </row>
    <row r="4" spans="1:7">
      <c r="A4" s="6">
        <v>46101</v>
      </c>
      <c r="B4" s="5">
        <f t="shared" si="0"/>
        <v>256842</v>
      </c>
      <c r="C4" s="5">
        <f t="shared" si="2"/>
        <v>236842</v>
      </c>
      <c r="D4" s="5">
        <v>20000</v>
      </c>
      <c r="E4" s="5">
        <v>0</v>
      </c>
      <c r="F4" s="5">
        <v>11837</v>
      </c>
      <c r="G4" s="5">
        <f t="shared" si="1"/>
        <v>268679</v>
      </c>
    </row>
    <row r="5" spans="1:7">
      <c r="A5" s="6">
        <v>46177</v>
      </c>
      <c r="B5" s="5">
        <f t="shared" si="0"/>
        <v>266842</v>
      </c>
      <c r="C5" s="5">
        <f t="shared" si="2"/>
        <v>256842</v>
      </c>
      <c r="D5" s="5">
        <v>10000</v>
      </c>
      <c r="E5" s="5">
        <v>0</v>
      </c>
      <c r="F5" s="5">
        <v>11837</v>
      </c>
      <c r="G5" s="5">
        <f t="shared" si="1"/>
        <v>278679</v>
      </c>
    </row>
    <row r="6" spans="1:7">
      <c r="A6" s="6">
        <v>46182</v>
      </c>
      <c r="B6" s="5">
        <f t="shared" si="0"/>
        <v>276842</v>
      </c>
      <c r="C6" s="5">
        <f t="shared" si="2"/>
        <v>266842</v>
      </c>
      <c r="D6" s="5">
        <v>10000</v>
      </c>
      <c r="E6" s="5">
        <v>0</v>
      </c>
      <c r="F6" s="5">
        <v>11873</v>
      </c>
      <c r="G6" s="5">
        <f t="shared" si="1"/>
        <v>288715</v>
      </c>
    </row>
    <row r="7" spans="1:7">
      <c r="A7" s="6">
        <v>46184</v>
      </c>
      <c r="B7" s="5">
        <f t="shared" si="0"/>
        <v>281842</v>
      </c>
      <c r="C7" s="5">
        <f t="shared" si="2"/>
        <v>276842</v>
      </c>
      <c r="D7" s="5">
        <v>5000</v>
      </c>
      <c r="E7" s="5">
        <v>0</v>
      </c>
      <c r="F7" s="5">
        <v>11873</v>
      </c>
      <c r="G7" s="5">
        <f t="shared" si="1"/>
        <v>293715</v>
      </c>
    </row>
    <row r="8" spans="1:7">
      <c r="A8" s="6">
        <v>46190</v>
      </c>
      <c r="B8" s="5">
        <f t="shared" si="0"/>
        <v>282342</v>
      </c>
      <c r="C8" s="5">
        <f t="shared" si="2"/>
        <v>281842</v>
      </c>
      <c r="D8" s="5">
        <v>500</v>
      </c>
      <c r="E8" s="5">
        <v>0</v>
      </c>
      <c r="F8" s="5">
        <v>11873</v>
      </c>
      <c r="G8" s="5">
        <f t="shared" si="1"/>
        <v>294215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3"/>
  <sheetViews>
    <sheetView tabSelected="1" workbookViewId="0">
      <selection activeCell="A22" sqref="$A22:$XFD22"/>
    </sheetView>
  </sheetViews>
  <sheetFormatPr defaultColWidth="9" defaultRowHeight="13.5"/>
  <cols>
    <col min="1" max="1" width="9" style="3"/>
    <col min="2" max="2" width="9.375" style="3"/>
    <col min="3" max="3" width="9" style="10"/>
    <col min="4" max="4" width="9" style="3"/>
    <col min="5" max="5" width="12.875" customWidth="1"/>
    <col min="6" max="8" width="12.875" style="3" customWidth="1"/>
    <col min="9" max="9" width="9" style="10"/>
    <col min="10" max="10" width="68.625" style="11" customWidth="1"/>
  </cols>
  <sheetData>
    <row r="1" s="10" customFormat="1" spans="1:11">
      <c r="A1" s="4" t="s">
        <v>7</v>
      </c>
      <c r="B1" s="4" t="s">
        <v>8</v>
      </c>
      <c r="C1" s="4" t="s">
        <v>9</v>
      </c>
      <c r="D1" s="4" t="s">
        <v>8</v>
      </c>
      <c r="E1" s="12" t="s">
        <v>10</v>
      </c>
      <c r="F1" s="12" t="s">
        <v>11</v>
      </c>
      <c r="G1" s="12" t="s">
        <v>12</v>
      </c>
      <c r="H1" s="12" t="s">
        <v>13</v>
      </c>
      <c r="I1" s="4" t="s">
        <v>14</v>
      </c>
      <c r="J1" s="13" t="s">
        <v>15</v>
      </c>
    </row>
    <row r="2" spans="1:11">
      <c r="A2" s="1">
        <v>1</v>
      </c>
      <c r="B2" s="1">
        <v>300323</v>
      </c>
      <c r="C2" s="4" t="s">
        <v>16</v>
      </c>
      <c r="D2" s="1">
        <v>1</v>
      </c>
      <c r="E2" s="14">
        <v>46182</v>
      </c>
      <c r="F2" s="1">
        <v>16.6114</v>
      </c>
      <c r="G2" s="1">
        <v>1600</v>
      </c>
      <c r="H2" s="1">
        <f t="shared" ref="H2:H8" si="0">F2*G2</f>
        <v>26578.24</v>
      </c>
      <c r="I2" s="4" t="s">
        <v>17</v>
      </c>
      <c r="J2" s="13" t="s">
        <v>18</v>
      </c>
      <c r="K2" s="10"/>
    </row>
    <row r="3" spans="1:11">
      <c r="A3" s="1">
        <v>2</v>
      </c>
      <c r="B3" s="1">
        <v>600740</v>
      </c>
      <c r="C3" s="4" t="s">
        <v>19</v>
      </c>
      <c r="D3" s="1">
        <v>1</v>
      </c>
      <c r="E3" s="14">
        <v>46182</v>
      </c>
      <c r="F3" s="1">
        <v>4.1541</v>
      </c>
      <c r="G3" s="1">
        <v>1800</v>
      </c>
      <c r="H3" s="1">
        <f t="shared" si="0"/>
        <v>7477.38</v>
      </c>
      <c r="I3" s="4" t="s">
        <v>17</v>
      </c>
      <c r="J3" s="13" t="s">
        <v>20</v>
      </c>
    </row>
    <row r="4" spans="1:11">
      <c r="A4" s="15">
        <v>3</v>
      </c>
      <c r="B4" s="28" t="s">
        <v>21</v>
      </c>
      <c r="C4" s="16" t="s">
        <v>22</v>
      </c>
      <c r="D4" s="15">
        <v>1</v>
      </c>
      <c r="E4" s="17">
        <v>46182</v>
      </c>
      <c r="F4" s="15">
        <v>4.8581</v>
      </c>
      <c r="G4" s="15">
        <v>4300</v>
      </c>
      <c r="H4" s="15">
        <f t="shared" si="0"/>
        <v>20889.83</v>
      </c>
      <c r="I4" s="16" t="s">
        <v>23</v>
      </c>
      <c r="J4" s="18"/>
    </row>
    <row r="5" spans="1:11">
      <c r="A5" s="1">
        <v>4</v>
      </c>
      <c r="B5" s="1">
        <v>601990</v>
      </c>
      <c r="C5" s="4" t="s">
        <v>24</v>
      </c>
      <c r="D5" s="1">
        <v>1</v>
      </c>
      <c r="E5" s="14">
        <v>46182</v>
      </c>
      <c r="F5" s="1">
        <v>9.9227</v>
      </c>
      <c r="G5" s="1">
        <v>500</v>
      </c>
      <c r="H5" s="1">
        <f t="shared" si="0"/>
        <v>4961.35</v>
      </c>
      <c r="I5" s="4" t="s">
        <v>17</v>
      </c>
      <c r="J5" s="13" t="s">
        <v>25</v>
      </c>
    </row>
    <row r="6" spans="1:11">
      <c r="A6" s="1">
        <v>5</v>
      </c>
      <c r="B6" s="1">
        <v>600059</v>
      </c>
      <c r="C6" s="4" t="s">
        <v>26</v>
      </c>
      <c r="D6" s="1">
        <v>1</v>
      </c>
      <c r="E6" s="14">
        <v>46182</v>
      </c>
      <c r="F6" s="1">
        <v>10.9008</v>
      </c>
      <c r="G6" s="1">
        <v>1000</v>
      </c>
      <c r="H6" s="1">
        <f t="shared" si="0"/>
        <v>10900.8</v>
      </c>
      <c r="I6" s="4" t="s">
        <v>17</v>
      </c>
      <c r="J6" s="13" t="s">
        <v>27</v>
      </c>
    </row>
    <row r="7" spans="1:11">
      <c r="A7" s="1">
        <v>6</v>
      </c>
      <c r="B7" s="29" t="s">
        <v>28</v>
      </c>
      <c r="C7" s="4" t="s">
        <v>29</v>
      </c>
      <c r="D7" s="1">
        <v>1</v>
      </c>
      <c r="E7" s="14">
        <v>46182</v>
      </c>
      <c r="F7" s="1">
        <v>9.6507</v>
      </c>
      <c r="G7" s="1">
        <v>1000</v>
      </c>
      <c r="H7" s="1">
        <f t="shared" si="0"/>
        <v>9650.7</v>
      </c>
      <c r="I7" s="4" t="s">
        <v>17</v>
      </c>
      <c r="J7" s="13" t="s">
        <v>30</v>
      </c>
    </row>
    <row r="8" spans="1:11">
      <c r="A8" s="1">
        <v>7</v>
      </c>
      <c r="B8" s="1">
        <v>601179</v>
      </c>
      <c r="C8" s="4" t="s">
        <v>31</v>
      </c>
      <c r="D8" s="1">
        <v>1</v>
      </c>
      <c r="E8" s="14">
        <v>46182</v>
      </c>
      <c r="F8" s="1">
        <v>20.12</v>
      </c>
      <c r="G8" s="1">
        <v>700</v>
      </c>
      <c r="H8" s="1">
        <f t="shared" si="0"/>
        <v>14084</v>
      </c>
      <c r="I8" s="4" t="s">
        <v>17</v>
      </c>
      <c r="J8" s="13" t="s">
        <v>32</v>
      </c>
    </row>
    <row r="9" spans="1:11">
      <c r="A9" s="1">
        <v>8</v>
      </c>
      <c r="B9" s="1">
        <v>603258</v>
      </c>
      <c r="C9" s="4" t="s">
        <v>33</v>
      </c>
      <c r="D9" s="1">
        <v>1</v>
      </c>
      <c r="E9" s="14">
        <v>46182</v>
      </c>
      <c r="F9" s="1">
        <v>20.6888</v>
      </c>
      <c r="G9" s="1">
        <v>900</v>
      </c>
      <c r="H9" s="1">
        <f t="shared" ref="H9:H18" si="1">F9*G9</f>
        <v>18619.92</v>
      </c>
      <c r="I9" s="4" t="s">
        <v>17</v>
      </c>
      <c r="J9" s="13" t="s">
        <v>34</v>
      </c>
    </row>
    <row r="10" spans="1:11">
      <c r="A10" s="1">
        <v>9</v>
      </c>
      <c r="B10" s="1">
        <v>600422</v>
      </c>
      <c r="C10" s="4" t="s">
        <v>35</v>
      </c>
      <c r="D10" s="1">
        <v>1</v>
      </c>
      <c r="E10" s="14">
        <v>46182</v>
      </c>
      <c r="F10" s="1">
        <v>21.0619</v>
      </c>
      <c r="G10" s="1">
        <v>600</v>
      </c>
      <c r="H10" s="1">
        <f t="shared" si="1"/>
        <v>12637.14</v>
      </c>
      <c r="I10" s="4" t="s">
        <v>17</v>
      </c>
      <c r="J10" s="19" t="s">
        <v>36</v>
      </c>
    </row>
    <row r="11" spans="1:11">
      <c r="A11" s="1"/>
      <c r="B11" s="1"/>
      <c r="C11" s="4"/>
      <c r="D11" s="1">
        <v>2</v>
      </c>
      <c r="E11" s="14">
        <v>46188</v>
      </c>
      <c r="F11" s="1">
        <v>8.5</v>
      </c>
      <c r="G11" s="1">
        <v>600</v>
      </c>
      <c r="H11" s="1">
        <f t="shared" si="1"/>
        <v>5100</v>
      </c>
      <c r="I11" s="4" t="s">
        <v>17</v>
      </c>
      <c r="J11" s="20"/>
    </row>
    <row r="12" spans="1:11">
      <c r="A12" s="1">
        <v>10</v>
      </c>
      <c r="B12" s="1">
        <v>600879</v>
      </c>
      <c r="C12" s="4" t="s">
        <v>37</v>
      </c>
      <c r="D12" s="1">
        <v>1</v>
      </c>
      <c r="E12" s="14">
        <v>46182</v>
      </c>
      <c r="F12" s="1">
        <v>26.2661</v>
      </c>
      <c r="G12" s="1">
        <v>700</v>
      </c>
      <c r="H12" s="1">
        <f t="shared" si="1"/>
        <v>18386.27</v>
      </c>
      <c r="I12" s="4" t="s">
        <v>17</v>
      </c>
      <c r="J12" s="13" t="s">
        <v>38</v>
      </c>
    </row>
    <row r="13" spans="1:11">
      <c r="A13" s="7">
        <v>11</v>
      </c>
      <c r="B13" s="7">
        <v>601066</v>
      </c>
      <c r="C13" s="7" t="s">
        <v>39</v>
      </c>
      <c r="D13" s="1">
        <v>1</v>
      </c>
      <c r="E13" s="14">
        <v>46182</v>
      </c>
      <c r="F13" s="1">
        <v>27.6302</v>
      </c>
      <c r="G13" s="1">
        <v>3400</v>
      </c>
      <c r="H13" s="1">
        <f t="shared" si="1"/>
        <v>93942.68</v>
      </c>
      <c r="I13" s="4" t="s">
        <v>17</v>
      </c>
      <c r="J13" s="21" t="s">
        <v>40</v>
      </c>
    </row>
    <row r="14" spans="1:11">
      <c r="A14" s="8"/>
      <c r="B14" s="8"/>
      <c r="C14" s="8"/>
      <c r="D14" s="22">
        <v>2</v>
      </c>
      <c r="E14" s="23">
        <v>46192</v>
      </c>
      <c r="F14" s="22">
        <v>31</v>
      </c>
      <c r="G14" s="22">
        <v>-2400</v>
      </c>
      <c r="H14" s="22">
        <f t="shared" si="1"/>
        <v>-74400</v>
      </c>
      <c r="I14" s="24" t="s">
        <v>23</v>
      </c>
      <c r="J14" s="25"/>
    </row>
    <row r="15" spans="1:11">
      <c r="A15" s="9"/>
      <c r="B15" s="9"/>
      <c r="C15" s="9"/>
      <c r="D15" s="1">
        <v>3</v>
      </c>
      <c r="E15" s="14">
        <v>46202</v>
      </c>
      <c r="F15" s="1">
        <v>29.3</v>
      </c>
      <c r="G15" s="1">
        <v>1000</v>
      </c>
      <c r="H15" s="1">
        <f t="shared" si="1"/>
        <v>29300</v>
      </c>
      <c r="I15" s="4" t="s">
        <v>17</v>
      </c>
      <c r="J15" s="20"/>
    </row>
    <row r="16" spans="1:11">
      <c r="A16" s="1">
        <v>12</v>
      </c>
      <c r="B16" s="29" t="s">
        <v>41</v>
      </c>
      <c r="C16" s="4" t="s">
        <v>42</v>
      </c>
      <c r="D16" s="1">
        <v>1</v>
      </c>
      <c r="E16" s="14">
        <v>46182</v>
      </c>
      <c r="F16" s="1">
        <v>18.3681</v>
      </c>
      <c r="G16" s="1">
        <v>1000</v>
      </c>
      <c r="H16" s="1">
        <f t="shared" si="1"/>
        <v>18368.1</v>
      </c>
      <c r="I16" s="4" t="s">
        <v>17</v>
      </c>
      <c r="J16" s="13" t="s">
        <v>43</v>
      </c>
    </row>
    <row r="17" spans="1:10">
      <c r="A17" s="1">
        <v>13</v>
      </c>
      <c r="B17" s="1">
        <v>300589</v>
      </c>
      <c r="C17" s="4" t="s">
        <v>44</v>
      </c>
      <c r="D17" s="1">
        <v>1</v>
      </c>
      <c r="E17" s="14">
        <v>46182</v>
      </c>
      <c r="F17" s="1">
        <v>22.8225</v>
      </c>
      <c r="G17" s="1">
        <v>1200</v>
      </c>
      <c r="H17" s="1">
        <f t="shared" si="1"/>
        <v>27387</v>
      </c>
      <c r="I17" s="4" t="s">
        <v>17</v>
      </c>
      <c r="J17" s="13" t="s">
        <v>45</v>
      </c>
    </row>
    <row r="18" spans="1:10">
      <c r="A18" s="1">
        <v>14</v>
      </c>
      <c r="B18" s="1">
        <v>300129</v>
      </c>
      <c r="C18" s="4" t="s">
        <v>46</v>
      </c>
      <c r="D18" s="1">
        <v>1</v>
      </c>
      <c r="E18" s="14">
        <v>46182</v>
      </c>
      <c r="F18" s="1">
        <v>14.9016</v>
      </c>
      <c r="G18" s="1">
        <v>2300</v>
      </c>
      <c r="H18" s="1">
        <f t="shared" si="1"/>
        <v>34273.68</v>
      </c>
      <c r="I18" s="4" t="s">
        <v>17</v>
      </c>
      <c r="J18" s="13" t="s">
        <v>47</v>
      </c>
    </row>
    <row r="19" spans="1:10">
      <c r="A19" s="22">
        <v>15</v>
      </c>
      <c r="B19" s="22">
        <v>600172</v>
      </c>
      <c r="C19" s="24" t="s">
        <v>48</v>
      </c>
      <c r="D19" s="22">
        <v>1</v>
      </c>
      <c r="E19" s="26">
        <v>46188</v>
      </c>
      <c r="F19" s="22">
        <v>12.2123</v>
      </c>
      <c r="G19" s="22">
        <v>600</v>
      </c>
      <c r="H19" s="22">
        <f t="shared" ref="H19:H50" si="2">F19*G19</f>
        <v>7327.38</v>
      </c>
      <c r="I19" s="16" t="s">
        <v>23</v>
      </c>
      <c r="J19" s="27" t="s">
        <v>49</v>
      </c>
    </row>
    <row r="20" spans="1:10">
      <c r="A20" s="1">
        <v>16</v>
      </c>
      <c r="B20" s="1">
        <v>600745</v>
      </c>
      <c r="C20" s="4" t="s">
        <v>50</v>
      </c>
      <c r="D20" s="1">
        <v>1</v>
      </c>
      <c r="E20" s="6">
        <v>46189</v>
      </c>
      <c r="F20" s="1">
        <v>18.6687</v>
      </c>
      <c r="G20" s="1">
        <v>800</v>
      </c>
      <c r="H20" s="1">
        <f t="shared" si="2"/>
        <v>14934.96</v>
      </c>
      <c r="I20" s="4" t="s">
        <v>17</v>
      </c>
      <c r="J20" s="13" t="s">
        <v>51</v>
      </c>
    </row>
    <row r="21" spans="1:10">
      <c r="A21" s="1">
        <v>17</v>
      </c>
      <c r="B21">
        <v>600115</v>
      </c>
      <c r="C21" t="s">
        <v>52</v>
      </c>
      <c r="D21" s="1">
        <v>1</v>
      </c>
      <c r="E21" s="6">
        <v>46203</v>
      </c>
      <c r="F21" s="1">
        <v>3.7838</v>
      </c>
      <c r="G21" s="1">
        <v>3200</v>
      </c>
      <c r="H21" s="1">
        <f t="shared" si="2"/>
        <v>12108.16</v>
      </c>
      <c r="I21" s="4" t="s">
        <v>17</v>
      </c>
      <c r="J21" s="13"/>
    </row>
    <row r="22" spans="1:10">
      <c r="A22" s="1">
        <v>18</v>
      </c>
      <c r="B22" s="1">
        <v>600360</v>
      </c>
      <c r="C22" s="4" t="s">
        <v>53</v>
      </c>
      <c r="D22" s="1">
        <v>1</v>
      </c>
      <c r="E22" s="6">
        <v>46203</v>
      </c>
      <c r="F22" s="1">
        <v>14.6146</v>
      </c>
      <c r="G22" s="1">
        <v>2000</v>
      </c>
      <c r="H22" s="1">
        <f t="shared" si="2"/>
        <v>29229.2</v>
      </c>
      <c r="I22" s="4" t="s">
        <v>17</v>
      </c>
      <c r="J22" s="13"/>
    </row>
    <row r="23" spans="1:10">
      <c r="A23" s="1">
        <v>19</v>
      </c>
      <c r="B23" s="29" t="s">
        <v>54</v>
      </c>
      <c r="C23" s="4" t="s">
        <v>55</v>
      </c>
      <c r="D23" s="1">
        <v>1</v>
      </c>
      <c r="E23" s="6">
        <v>46204</v>
      </c>
      <c r="F23" s="1">
        <v>8.5585</v>
      </c>
      <c r="G23" s="1">
        <v>1700</v>
      </c>
      <c r="H23" s="1">
        <f t="shared" si="2"/>
        <v>14549.45</v>
      </c>
      <c r="I23" s="4" t="s">
        <v>17</v>
      </c>
      <c r="J23" s="13"/>
    </row>
    <row r="24" spans="1:10">
      <c r="A24" s="1">
        <v>20</v>
      </c>
      <c r="B24" s="1"/>
      <c r="C24" s="4"/>
      <c r="D24" s="1"/>
      <c r="E24" s="5"/>
      <c r="F24" s="1"/>
      <c r="G24" s="1"/>
      <c r="H24" s="1">
        <f t="shared" si="2"/>
        <v>0</v>
      </c>
      <c r="I24" s="4" t="s">
        <v>17</v>
      </c>
      <c r="J24" s="13"/>
    </row>
    <row r="25" spans="1:10">
      <c r="A25" s="1">
        <v>21</v>
      </c>
      <c r="B25" s="1"/>
      <c r="C25" s="4"/>
      <c r="D25" s="1"/>
      <c r="E25" s="5"/>
      <c r="F25" s="1"/>
      <c r="G25" s="1"/>
      <c r="H25" s="1">
        <f t="shared" si="2"/>
        <v>0</v>
      </c>
      <c r="I25" s="4" t="s">
        <v>17</v>
      </c>
      <c r="J25" s="13"/>
    </row>
    <row r="26" spans="1:10">
      <c r="A26" s="1">
        <v>22</v>
      </c>
      <c r="B26" s="1"/>
      <c r="C26" s="4"/>
      <c r="D26" s="1"/>
      <c r="E26" s="5"/>
      <c r="F26" s="1"/>
      <c r="G26" s="1"/>
      <c r="H26" s="1">
        <f t="shared" si="2"/>
        <v>0</v>
      </c>
      <c r="I26" s="4" t="s">
        <v>17</v>
      </c>
      <c r="J26" s="13"/>
    </row>
    <row r="27" spans="1:10">
      <c r="A27" s="1">
        <v>23</v>
      </c>
      <c r="B27" s="1"/>
      <c r="C27" s="4"/>
      <c r="D27" s="1"/>
      <c r="E27" s="5"/>
      <c r="F27" s="1"/>
      <c r="G27" s="1"/>
      <c r="H27" s="1">
        <f t="shared" si="2"/>
        <v>0</v>
      </c>
      <c r="I27" s="4" t="s">
        <v>17</v>
      </c>
      <c r="J27" s="13"/>
    </row>
    <row r="28" spans="1:10">
      <c r="A28" s="1">
        <v>24</v>
      </c>
      <c r="B28" s="1"/>
      <c r="C28" s="4"/>
      <c r="D28" s="1"/>
      <c r="E28" s="5"/>
      <c r="F28" s="1"/>
      <c r="G28" s="1"/>
      <c r="H28" s="1">
        <f t="shared" si="2"/>
        <v>0</v>
      </c>
      <c r="I28" s="4" t="s">
        <v>17</v>
      </c>
      <c r="J28" s="13"/>
    </row>
    <row r="29" spans="1:10">
      <c r="A29" s="1">
        <v>25</v>
      </c>
      <c r="B29" s="1"/>
      <c r="C29" s="4"/>
      <c r="D29" s="1"/>
      <c r="E29" s="5"/>
      <c r="F29" s="1"/>
      <c r="G29" s="1"/>
      <c r="H29" s="1">
        <f t="shared" si="2"/>
        <v>0</v>
      </c>
      <c r="I29" s="4" t="s">
        <v>17</v>
      </c>
      <c r="J29" s="13"/>
    </row>
    <row r="30" spans="1:10">
      <c r="A30" s="1">
        <v>26</v>
      </c>
      <c r="B30" s="1"/>
      <c r="C30" s="4"/>
      <c r="D30" s="1"/>
      <c r="E30" s="5"/>
      <c r="F30" s="1"/>
      <c r="G30" s="1"/>
      <c r="H30" s="1">
        <f t="shared" si="2"/>
        <v>0</v>
      </c>
      <c r="I30" s="4" t="s">
        <v>17</v>
      </c>
      <c r="J30" s="13"/>
    </row>
    <row r="31" spans="1:10">
      <c r="A31" s="1">
        <v>27</v>
      </c>
      <c r="B31" s="1"/>
      <c r="C31" s="4"/>
      <c r="D31" s="1"/>
      <c r="E31" s="5"/>
      <c r="F31" s="1"/>
      <c r="G31" s="1"/>
      <c r="H31" s="1">
        <f t="shared" si="2"/>
        <v>0</v>
      </c>
      <c r="I31" s="4" t="s">
        <v>17</v>
      </c>
      <c r="J31" s="13"/>
    </row>
    <row r="32" spans="1:10">
      <c r="A32" s="1">
        <v>28</v>
      </c>
      <c r="B32" s="1"/>
      <c r="C32" s="4"/>
      <c r="D32" s="1"/>
      <c r="E32" s="5"/>
      <c r="F32" s="1"/>
      <c r="G32" s="1"/>
      <c r="H32" s="1">
        <f t="shared" si="2"/>
        <v>0</v>
      </c>
      <c r="I32" s="4" t="s">
        <v>17</v>
      </c>
      <c r="J32" s="13"/>
    </row>
    <row r="33" spans="1:10">
      <c r="A33" s="1">
        <v>29</v>
      </c>
      <c r="B33" s="1"/>
      <c r="C33" s="4"/>
      <c r="D33" s="1"/>
      <c r="E33" s="5"/>
      <c r="F33" s="1"/>
      <c r="G33" s="1"/>
      <c r="H33" s="1">
        <f t="shared" si="2"/>
        <v>0</v>
      </c>
      <c r="I33" s="4" t="s">
        <v>17</v>
      </c>
      <c r="J33" s="13"/>
    </row>
    <row r="34" spans="1:10">
      <c r="A34" s="1">
        <v>30</v>
      </c>
      <c r="B34" s="1"/>
      <c r="C34" s="4"/>
      <c r="D34" s="1"/>
      <c r="E34" s="5"/>
      <c r="F34" s="1"/>
      <c r="G34" s="1"/>
      <c r="H34" s="1">
        <f t="shared" si="2"/>
        <v>0</v>
      </c>
      <c r="I34" s="4" t="s">
        <v>17</v>
      </c>
      <c r="J34" s="13"/>
    </row>
    <row r="35" spans="1:10">
      <c r="A35" s="1">
        <v>31</v>
      </c>
      <c r="B35" s="1"/>
      <c r="C35" s="4"/>
      <c r="D35" s="1"/>
      <c r="E35" s="5"/>
      <c r="F35" s="1"/>
      <c r="G35" s="1"/>
      <c r="H35" s="1">
        <f t="shared" si="2"/>
        <v>0</v>
      </c>
      <c r="I35" s="4" t="s">
        <v>17</v>
      </c>
      <c r="J35" s="13"/>
    </row>
    <row r="36" spans="1:10">
      <c r="A36" s="1">
        <v>32</v>
      </c>
      <c r="B36" s="1"/>
      <c r="C36" s="4"/>
      <c r="D36" s="1"/>
      <c r="E36" s="5"/>
      <c r="F36" s="1"/>
      <c r="G36" s="1"/>
      <c r="H36" s="1">
        <f t="shared" si="2"/>
        <v>0</v>
      </c>
      <c r="I36" s="4" t="s">
        <v>17</v>
      </c>
      <c r="J36" s="13"/>
    </row>
    <row r="37" spans="1:10">
      <c r="A37" s="1">
        <v>33</v>
      </c>
      <c r="B37" s="1"/>
      <c r="C37" s="4"/>
      <c r="D37" s="1"/>
      <c r="E37" s="5"/>
      <c r="F37" s="1"/>
      <c r="G37" s="1"/>
      <c r="H37" s="1">
        <f t="shared" si="2"/>
        <v>0</v>
      </c>
      <c r="I37" s="4" t="s">
        <v>17</v>
      </c>
      <c r="J37" s="13"/>
    </row>
    <row r="38" spans="1:10">
      <c r="A38" s="1">
        <v>34</v>
      </c>
      <c r="B38" s="1"/>
      <c r="C38" s="4"/>
      <c r="D38" s="1"/>
      <c r="E38" s="5"/>
      <c r="F38" s="1"/>
      <c r="G38" s="1"/>
      <c r="H38" s="1">
        <f t="shared" si="2"/>
        <v>0</v>
      </c>
      <c r="I38" s="4" t="s">
        <v>17</v>
      </c>
      <c r="J38" s="13"/>
    </row>
    <row r="39" spans="1:10">
      <c r="A39" s="1">
        <v>35</v>
      </c>
      <c r="B39" s="1"/>
      <c r="C39" s="4"/>
      <c r="D39" s="1"/>
      <c r="E39" s="5"/>
      <c r="F39" s="1"/>
      <c r="G39" s="1"/>
      <c r="H39" s="1">
        <f t="shared" si="2"/>
        <v>0</v>
      </c>
      <c r="I39" s="4" t="s">
        <v>17</v>
      </c>
      <c r="J39" s="13"/>
    </row>
    <row r="40" spans="1:10">
      <c r="A40" s="1">
        <v>36</v>
      </c>
      <c r="B40" s="1"/>
      <c r="C40" s="4"/>
      <c r="D40" s="1"/>
      <c r="E40" s="5"/>
      <c r="F40" s="1"/>
      <c r="G40" s="1"/>
      <c r="H40" s="1">
        <f t="shared" si="2"/>
        <v>0</v>
      </c>
      <c r="I40" s="4" t="s">
        <v>17</v>
      </c>
      <c r="J40" s="13"/>
    </row>
    <row r="41" spans="1:10">
      <c r="A41" s="1">
        <v>37</v>
      </c>
      <c r="B41" s="1"/>
      <c r="C41" s="4"/>
      <c r="D41" s="1"/>
      <c r="E41" s="5"/>
      <c r="F41" s="1"/>
      <c r="G41" s="1"/>
      <c r="H41" s="1">
        <f t="shared" si="2"/>
        <v>0</v>
      </c>
      <c r="I41" s="4" t="s">
        <v>17</v>
      </c>
      <c r="J41" s="13"/>
    </row>
    <row r="42" spans="1:10">
      <c r="A42" s="1">
        <v>38</v>
      </c>
      <c r="B42" s="1"/>
      <c r="C42" s="4"/>
      <c r="D42" s="1"/>
      <c r="E42" s="5"/>
      <c r="F42" s="1"/>
      <c r="G42" s="1"/>
      <c r="H42" s="1">
        <f t="shared" si="2"/>
        <v>0</v>
      </c>
      <c r="I42" s="4" t="s">
        <v>17</v>
      </c>
      <c r="J42" s="13"/>
    </row>
    <row r="43" spans="1:10">
      <c r="A43" s="1">
        <v>39</v>
      </c>
      <c r="B43" s="1"/>
      <c r="C43" s="4"/>
      <c r="D43" s="1"/>
      <c r="E43" s="5"/>
      <c r="F43" s="1"/>
      <c r="G43" s="1"/>
      <c r="H43" s="1">
        <f t="shared" si="2"/>
        <v>0</v>
      </c>
      <c r="I43" s="4" t="s">
        <v>17</v>
      </c>
      <c r="J43" s="13"/>
    </row>
    <row r="44" spans="1:10">
      <c r="A44" s="1">
        <v>40</v>
      </c>
      <c r="B44" s="1"/>
      <c r="C44" s="4"/>
      <c r="D44" s="1"/>
      <c r="E44" s="5"/>
      <c r="F44" s="1"/>
      <c r="G44" s="1"/>
      <c r="H44" s="1">
        <f t="shared" si="2"/>
        <v>0</v>
      </c>
      <c r="I44" s="4" t="s">
        <v>17</v>
      </c>
      <c r="J44" s="13"/>
    </row>
    <row r="45" spans="1:10">
      <c r="A45" s="1">
        <v>41</v>
      </c>
      <c r="B45" s="1"/>
      <c r="C45" s="4"/>
      <c r="D45" s="1"/>
      <c r="E45" s="5"/>
      <c r="F45" s="1"/>
      <c r="G45" s="1"/>
      <c r="H45" s="1">
        <f t="shared" si="2"/>
        <v>0</v>
      </c>
      <c r="I45" s="4" t="s">
        <v>17</v>
      </c>
      <c r="J45" s="13"/>
    </row>
    <row r="46" spans="1:10">
      <c r="A46" s="1">
        <v>42</v>
      </c>
      <c r="B46" s="1"/>
      <c r="C46" s="4"/>
      <c r="D46" s="1"/>
      <c r="E46" s="5"/>
      <c r="F46" s="1"/>
      <c r="G46" s="1"/>
      <c r="H46" s="1">
        <f t="shared" si="2"/>
        <v>0</v>
      </c>
      <c r="I46" s="4" t="s">
        <v>17</v>
      </c>
      <c r="J46" s="13"/>
    </row>
    <row r="47" spans="1:10">
      <c r="A47" s="1">
        <v>43</v>
      </c>
      <c r="B47" s="1"/>
      <c r="C47" s="4"/>
      <c r="D47" s="1"/>
      <c r="E47" s="5"/>
      <c r="F47" s="1"/>
      <c r="G47" s="1"/>
      <c r="H47" s="1">
        <f t="shared" si="2"/>
        <v>0</v>
      </c>
      <c r="I47" s="4" t="s">
        <v>17</v>
      </c>
      <c r="J47" s="13"/>
    </row>
    <row r="48" spans="1:10">
      <c r="A48" s="1">
        <v>44</v>
      </c>
      <c r="B48" s="1"/>
      <c r="C48" s="4"/>
      <c r="D48" s="1"/>
      <c r="E48" s="5"/>
      <c r="F48" s="1"/>
      <c r="G48" s="1"/>
      <c r="H48" s="1">
        <f t="shared" si="2"/>
        <v>0</v>
      </c>
      <c r="I48" s="4" t="s">
        <v>17</v>
      </c>
      <c r="J48" s="13"/>
    </row>
    <row r="49" spans="1:10">
      <c r="A49" s="1">
        <v>45</v>
      </c>
      <c r="B49" s="1"/>
      <c r="C49" s="4"/>
      <c r="D49" s="1"/>
      <c r="E49" s="5"/>
      <c r="F49" s="1"/>
      <c r="G49" s="1"/>
      <c r="H49" s="1">
        <f t="shared" si="2"/>
        <v>0</v>
      </c>
      <c r="I49" s="4" t="s">
        <v>17</v>
      </c>
      <c r="J49" s="13"/>
    </row>
    <row r="50" spans="1:10">
      <c r="A50" s="1">
        <v>46</v>
      </c>
      <c r="B50" s="1"/>
      <c r="C50" s="4"/>
      <c r="D50" s="1"/>
      <c r="E50" s="5"/>
      <c r="F50" s="1"/>
      <c r="G50" s="1"/>
      <c r="H50" s="1">
        <f t="shared" si="2"/>
        <v>0</v>
      </c>
      <c r="I50" s="4" t="s">
        <v>17</v>
      </c>
      <c r="J50" s="13"/>
    </row>
    <row r="51" spans="1:10">
      <c r="A51" s="1">
        <v>47</v>
      </c>
      <c r="B51" s="1"/>
      <c r="C51" s="4"/>
      <c r="D51" s="1"/>
      <c r="E51" s="5"/>
      <c r="F51" s="1"/>
      <c r="G51" s="1"/>
      <c r="H51" s="1">
        <f t="shared" ref="H51:H82" si="3">F51*G51</f>
        <v>0</v>
      </c>
      <c r="I51" s="4" t="s">
        <v>17</v>
      </c>
      <c r="J51" s="13"/>
    </row>
    <row r="52" spans="1:10">
      <c r="A52" s="1">
        <v>48</v>
      </c>
      <c r="B52" s="1"/>
      <c r="C52" s="4"/>
      <c r="D52" s="1"/>
      <c r="E52" s="5"/>
      <c r="F52" s="1"/>
      <c r="G52" s="1"/>
      <c r="H52" s="1">
        <f t="shared" si="3"/>
        <v>0</v>
      </c>
      <c r="I52" s="4" t="s">
        <v>17</v>
      </c>
      <c r="J52" s="13"/>
    </row>
    <row r="53" spans="1:10">
      <c r="A53" s="1">
        <v>49</v>
      </c>
      <c r="B53" s="1"/>
      <c r="C53" s="4"/>
      <c r="D53" s="1"/>
      <c r="E53" s="5"/>
      <c r="F53" s="1"/>
      <c r="G53" s="1"/>
      <c r="H53" s="1">
        <f t="shared" si="3"/>
        <v>0</v>
      </c>
      <c r="I53" s="4" t="s">
        <v>17</v>
      </c>
      <c r="J53" s="13"/>
    </row>
    <row r="54" spans="1:10">
      <c r="A54" s="1">
        <v>50</v>
      </c>
      <c r="B54" s="1"/>
      <c r="C54" s="4"/>
      <c r="D54" s="1"/>
      <c r="E54" s="5"/>
      <c r="F54" s="1"/>
      <c r="G54" s="1"/>
      <c r="H54" s="1">
        <f t="shared" si="3"/>
        <v>0</v>
      </c>
      <c r="I54" s="4" t="s">
        <v>17</v>
      </c>
      <c r="J54" s="13"/>
    </row>
    <row r="55" spans="1:10">
      <c r="A55" s="1">
        <v>51</v>
      </c>
      <c r="B55" s="1"/>
      <c r="C55" s="4"/>
      <c r="D55" s="1"/>
      <c r="E55" s="5"/>
      <c r="F55" s="1"/>
      <c r="G55" s="1"/>
      <c r="H55" s="1">
        <f t="shared" si="3"/>
        <v>0</v>
      </c>
      <c r="I55" s="4" t="s">
        <v>17</v>
      </c>
      <c r="J55" s="13"/>
    </row>
    <row r="56" spans="1:10">
      <c r="A56" s="1">
        <v>52</v>
      </c>
      <c r="B56" s="1"/>
      <c r="C56" s="4"/>
      <c r="D56" s="1"/>
      <c r="E56" s="5"/>
      <c r="F56" s="1"/>
      <c r="G56" s="1"/>
      <c r="H56" s="1">
        <f t="shared" si="3"/>
        <v>0</v>
      </c>
      <c r="I56" s="4" t="s">
        <v>17</v>
      </c>
      <c r="J56" s="13"/>
    </row>
    <row r="57" spans="1:10">
      <c r="A57" s="1">
        <v>53</v>
      </c>
      <c r="B57" s="1"/>
      <c r="C57" s="4"/>
      <c r="D57" s="1"/>
      <c r="E57" s="5"/>
      <c r="F57" s="1"/>
      <c r="G57" s="1"/>
      <c r="H57" s="1">
        <f t="shared" si="3"/>
        <v>0</v>
      </c>
      <c r="I57" s="4" t="s">
        <v>17</v>
      </c>
      <c r="J57" s="13"/>
    </row>
    <row r="58" spans="1:10">
      <c r="A58" s="1">
        <v>54</v>
      </c>
      <c r="B58" s="1"/>
      <c r="C58" s="4"/>
      <c r="D58" s="1"/>
      <c r="E58" s="5"/>
      <c r="F58" s="1"/>
      <c r="G58" s="1"/>
      <c r="H58" s="1">
        <f t="shared" si="3"/>
        <v>0</v>
      </c>
      <c r="I58" s="4" t="s">
        <v>17</v>
      </c>
      <c r="J58" s="13"/>
    </row>
    <row r="59" spans="1:10">
      <c r="A59" s="1">
        <v>55</v>
      </c>
      <c r="B59" s="1"/>
      <c r="C59" s="4"/>
      <c r="D59" s="1"/>
      <c r="E59" s="5"/>
      <c r="F59" s="1"/>
      <c r="G59" s="1"/>
      <c r="H59" s="1">
        <f t="shared" si="3"/>
        <v>0</v>
      </c>
      <c r="I59" s="4" t="s">
        <v>17</v>
      </c>
      <c r="J59" s="13"/>
    </row>
    <row r="60" spans="1:10">
      <c r="A60" s="1">
        <v>56</v>
      </c>
      <c r="B60" s="1"/>
      <c r="C60" s="4"/>
      <c r="D60" s="1"/>
      <c r="E60" s="5"/>
      <c r="F60" s="1"/>
      <c r="G60" s="1"/>
      <c r="H60" s="1">
        <f t="shared" si="3"/>
        <v>0</v>
      </c>
      <c r="I60" s="4" t="s">
        <v>17</v>
      </c>
      <c r="J60" s="13"/>
    </row>
    <row r="61" spans="1:10">
      <c r="A61" s="1">
        <v>57</v>
      </c>
      <c r="B61" s="1"/>
      <c r="C61" s="4"/>
      <c r="D61" s="1"/>
      <c r="E61" s="5"/>
      <c r="F61" s="1"/>
      <c r="G61" s="1"/>
      <c r="H61" s="1">
        <f t="shared" si="3"/>
        <v>0</v>
      </c>
      <c r="I61" s="4" t="s">
        <v>17</v>
      </c>
      <c r="J61" s="13"/>
    </row>
    <row r="62" spans="1:10">
      <c r="A62" s="1">
        <v>58</v>
      </c>
      <c r="B62" s="1"/>
      <c r="C62" s="4"/>
      <c r="D62" s="1"/>
      <c r="E62" s="5"/>
      <c r="F62" s="1"/>
      <c r="G62" s="1"/>
      <c r="H62" s="1">
        <f t="shared" si="3"/>
        <v>0</v>
      </c>
      <c r="I62" s="4" t="s">
        <v>17</v>
      </c>
      <c r="J62" s="13"/>
    </row>
    <row r="63" spans="1:10">
      <c r="A63" s="1">
        <v>59</v>
      </c>
      <c r="B63" s="1"/>
      <c r="C63" s="4"/>
      <c r="D63" s="1"/>
      <c r="E63" s="5"/>
      <c r="F63" s="1"/>
      <c r="G63" s="1"/>
      <c r="H63" s="1">
        <f t="shared" si="3"/>
        <v>0</v>
      </c>
      <c r="I63" s="4" t="s">
        <v>17</v>
      </c>
      <c r="J63" s="13"/>
    </row>
    <row r="64" spans="1:10">
      <c r="A64" s="1">
        <v>60</v>
      </c>
      <c r="B64" s="1"/>
      <c r="C64" s="4"/>
      <c r="D64" s="1"/>
      <c r="E64" s="5"/>
      <c r="F64" s="1"/>
      <c r="G64" s="1"/>
      <c r="H64" s="1">
        <f t="shared" si="3"/>
        <v>0</v>
      </c>
      <c r="I64" s="4" t="s">
        <v>17</v>
      </c>
      <c r="J64" s="13"/>
    </row>
    <row r="65" spans="1:10">
      <c r="A65" s="1">
        <v>61</v>
      </c>
      <c r="B65" s="1"/>
      <c r="C65" s="4"/>
      <c r="D65" s="1"/>
      <c r="E65" s="5"/>
      <c r="F65" s="1"/>
      <c r="G65" s="1"/>
      <c r="H65" s="1">
        <f t="shared" si="3"/>
        <v>0</v>
      </c>
      <c r="I65" s="4" t="s">
        <v>17</v>
      </c>
      <c r="J65" s="13"/>
    </row>
    <row r="66" spans="1:10">
      <c r="A66" s="1">
        <v>62</v>
      </c>
      <c r="B66" s="1"/>
      <c r="C66" s="4"/>
      <c r="D66" s="1"/>
      <c r="E66" s="5"/>
      <c r="F66" s="1"/>
      <c r="G66" s="1"/>
      <c r="H66" s="1">
        <f t="shared" si="3"/>
        <v>0</v>
      </c>
      <c r="I66" s="4" t="s">
        <v>17</v>
      </c>
      <c r="J66" s="13"/>
    </row>
    <row r="67" spans="1:10">
      <c r="A67" s="1">
        <v>63</v>
      </c>
      <c r="B67" s="1"/>
      <c r="C67" s="4"/>
      <c r="D67" s="1"/>
      <c r="E67" s="5"/>
      <c r="F67" s="1"/>
      <c r="G67" s="1"/>
      <c r="H67" s="1">
        <f t="shared" si="3"/>
        <v>0</v>
      </c>
      <c r="I67" s="4" t="s">
        <v>17</v>
      </c>
      <c r="J67" s="13"/>
    </row>
    <row r="68" spans="1:10">
      <c r="A68" s="1">
        <v>64</v>
      </c>
      <c r="B68" s="1"/>
      <c r="C68" s="4"/>
      <c r="D68" s="1"/>
      <c r="E68" s="5"/>
      <c r="F68" s="1"/>
      <c r="G68" s="1"/>
      <c r="H68" s="1">
        <f t="shared" si="3"/>
        <v>0</v>
      </c>
      <c r="I68" s="4" t="s">
        <v>17</v>
      </c>
      <c r="J68" s="13"/>
    </row>
    <row r="69" spans="1:10">
      <c r="A69" s="1">
        <v>65</v>
      </c>
      <c r="B69" s="1"/>
      <c r="C69" s="4"/>
      <c r="D69" s="1"/>
      <c r="E69" s="5"/>
      <c r="F69" s="1"/>
      <c r="G69" s="1"/>
      <c r="H69" s="1">
        <f t="shared" si="3"/>
        <v>0</v>
      </c>
      <c r="I69" s="4" t="s">
        <v>17</v>
      </c>
      <c r="J69" s="13"/>
    </row>
    <row r="70" spans="1:10">
      <c r="A70" s="1">
        <v>66</v>
      </c>
      <c r="B70" s="1"/>
      <c r="C70" s="4"/>
      <c r="D70" s="1"/>
      <c r="E70" s="5"/>
      <c r="F70" s="1"/>
      <c r="G70" s="1"/>
      <c r="H70" s="1">
        <f t="shared" si="3"/>
        <v>0</v>
      </c>
      <c r="I70" s="4" t="s">
        <v>17</v>
      </c>
      <c r="J70" s="13"/>
    </row>
    <row r="71" spans="1:10">
      <c r="A71" s="1">
        <v>67</v>
      </c>
      <c r="B71" s="1"/>
      <c r="C71" s="4"/>
      <c r="D71" s="1"/>
      <c r="E71" s="5"/>
      <c r="F71" s="1"/>
      <c r="G71" s="1"/>
      <c r="H71" s="1">
        <f t="shared" si="3"/>
        <v>0</v>
      </c>
      <c r="I71" s="4" t="s">
        <v>17</v>
      </c>
      <c r="J71" s="13"/>
    </row>
    <row r="72" spans="1:10">
      <c r="A72" s="1">
        <v>68</v>
      </c>
      <c r="B72" s="1"/>
      <c r="C72" s="4"/>
      <c r="D72" s="1"/>
      <c r="E72" s="5"/>
      <c r="F72" s="1"/>
      <c r="G72" s="1"/>
      <c r="H72" s="1">
        <f t="shared" si="3"/>
        <v>0</v>
      </c>
      <c r="I72" s="4" t="s">
        <v>17</v>
      </c>
      <c r="J72" s="13"/>
    </row>
    <row r="73" spans="1:10">
      <c r="A73" s="1">
        <v>69</v>
      </c>
      <c r="B73" s="1"/>
      <c r="C73" s="4"/>
      <c r="D73" s="1"/>
      <c r="E73" s="5"/>
      <c r="F73" s="1"/>
      <c r="G73" s="1"/>
      <c r="H73" s="1">
        <f t="shared" si="3"/>
        <v>0</v>
      </c>
      <c r="I73" s="4" t="s">
        <v>17</v>
      </c>
      <c r="J73" s="13"/>
    </row>
    <row r="74" spans="1:10">
      <c r="A74" s="1">
        <v>70</v>
      </c>
      <c r="B74" s="1"/>
      <c r="C74" s="4"/>
      <c r="D74" s="1"/>
      <c r="E74" s="5"/>
      <c r="F74" s="1"/>
      <c r="G74" s="1"/>
      <c r="H74" s="1">
        <f t="shared" si="3"/>
        <v>0</v>
      </c>
      <c r="I74" s="4" t="s">
        <v>17</v>
      </c>
      <c r="J74" s="13"/>
    </row>
    <row r="75" spans="1:10">
      <c r="A75" s="1">
        <v>71</v>
      </c>
      <c r="B75" s="1"/>
      <c r="C75" s="4"/>
      <c r="D75" s="1"/>
      <c r="E75" s="5"/>
      <c r="F75" s="1"/>
      <c r="G75" s="1"/>
      <c r="H75" s="1">
        <f t="shared" si="3"/>
        <v>0</v>
      </c>
      <c r="I75" s="4" t="s">
        <v>17</v>
      </c>
      <c r="J75" s="13"/>
    </row>
    <row r="76" spans="1:10">
      <c r="A76" s="1">
        <v>72</v>
      </c>
      <c r="B76" s="1"/>
      <c r="C76" s="4"/>
      <c r="D76" s="1"/>
      <c r="E76" s="5"/>
      <c r="F76" s="1"/>
      <c r="G76" s="1"/>
      <c r="H76" s="1">
        <f t="shared" si="3"/>
        <v>0</v>
      </c>
      <c r="I76" s="4" t="s">
        <v>17</v>
      </c>
      <c r="J76" s="13"/>
    </row>
    <row r="77" spans="1:10">
      <c r="A77" s="1">
        <v>73</v>
      </c>
      <c r="B77" s="1"/>
      <c r="C77" s="4"/>
      <c r="D77" s="1"/>
      <c r="E77" s="5"/>
      <c r="F77" s="1"/>
      <c r="G77" s="1"/>
      <c r="H77" s="1">
        <f t="shared" si="3"/>
        <v>0</v>
      </c>
      <c r="I77" s="4" t="s">
        <v>17</v>
      </c>
      <c r="J77" s="13"/>
    </row>
    <row r="78" spans="1:10">
      <c r="A78" s="1">
        <v>74</v>
      </c>
      <c r="B78" s="1"/>
      <c r="C78" s="4"/>
      <c r="D78" s="1"/>
      <c r="E78" s="5"/>
      <c r="F78" s="1"/>
      <c r="G78" s="1"/>
      <c r="H78" s="1">
        <f t="shared" si="3"/>
        <v>0</v>
      </c>
      <c r="I78" s="4" t="s">
        <v>17</v>
      </c>
      <c r="J78" s="13"/>
    </row>
    <row r="79" spans="1:10">
      <c r="A79" s="1">
        <v>75</v>
      </c>
      <c r="B79" s="1"/>
      <c r="C79" s="4"/>
      <c r="D79" s="1"/>
      <c r="E79" s="5"/>
      <c r="F79" s="1"/>
      <c r="G79" s="1"/>
      <c r="H79" s="1">
        <f t="shared" si="3"/>
        <v>0</v>
      </c>
      <c r="I79" s="4" t="s">
        <v>17</v>
      </c>
      <c r="J79" s="13"/>
    </row>
    <row r="80" spans="1:10">
      <c r="A80" s="1">
        <v>76</v>
      </c>
      <c r="B80" s="1"/>
      <c r="C80" s="4"/>
      <c r="D80" s="1"/>
      <c r="E80" s="5"/>
      <c r="F80" s="1"/>
      <c r="G80" s="1"/>
      <c r="H80" s="1">
        <f t="shared" si="3"/>
        <v>0</v>
      </c>
      <c r="I80" s="4" t="s">
        <v>17</v>
      </c>
      <c r="J80" s="13"/>
    </row>
    <row r="81" spans="1:10">
      <c r="A81" s="1">
        <v>77</v>
      </c>
      <c r="B81" s="1"/>
      <c r="C81" s="4"/>
      <c r="D81" s="1"/>
      <c r="E81" s="5"/>
      <c r="F81" s="1"/>
      <c r="G81" s="1"/>
      <c r="H81" s="1">
        <f t="shared" si="3"/>
        <v>0</v>
      </c>
      <c r="I81" s="4" t="s">
        <v>17</v>
      </c>
      <c r="J81" s="13"/>
    </row>
    <row r="82" spans="1:10">
      <c r="A82" s="1">
        <v>78</v>
      </c>
      <c r="B82" s="1"/>
      <c r="C82" s="4"/>
      <c r="D82" s="1"/>
      <c r="E82" s="5"/>
      <c r="F82" s="1"/>
      <c r="G82" s="1"/>
      <c r="H82" s="1">
        <f t="shared" si="3"/>
        <v>0</v>
      </c>
      <c r="I82" s="4" t="s">
        <v>17</v>
      </c>
      <c r="J82" s="13"/>
    </row>
    <row r="83" spans="1:10">
      <c r="A83" s="1">
        <v>79</v>
      </c>
      <c r="B83" s="1"/>
      <c r="C83" s="4"/>
      <c r="D83" s="1"/>
      <c r="E83" s="5"/>
      <c r="F83" s="1"/>
      <c r="G83" s="1"/>
      <c r="H83" s="1">
        <f t="shared" ref="H83:H103" si="4">F83*G83</f>
        <v>0</v>
      </c>
      <c r="I83" s="4" t="s">
        <v>17</v>
      </c>
      <c r="J83" s="13"/>
    </row>
    <row r="84" spans="1:10">
      <c r="A84" s="1">
        <v>80</v>
      </c>
      <c r="B84" s="1"/>
      <c r="C84" s="4"/>
      <c r="D84" s="1"/>
      <c r="E84" s="5"/>
      <c r="F84" s="1"/>
      <c r="G84" s="1"/>
      <c r="H84" s="1">
        <f t="shared" si="4"/>
        <v>0</v>
      </c>
      <c r="I84" s="4" t="s">
        <v>17</v>
      </c>
      <c r="J84" s="13"/>
    </row>
    <row r="85" spans="1:10">
      <c r="A85" s="1">
        <v>81</v>
      </c>
      <c r="B85" s="1"/>
      <c r="C85" s="4"/>
      <c r="D85" s="1"/>
      <c r="E85" s="5"/>
      <c r="F85" s="1"/>
      <c r="G85" s="1"/>
      <c r="H85" s="1">
        <f t="shared" si="4"/>
        <v>0</v>
      </c>
      <c r="I85" s="4" t="s">
        <v>17</v>
      </c>
      <c r="J85" s="13"/>
    </row>
    <row r="86" spans="1:10">
      <c r="A86" s="1">
        <v>82</v>
      </c>
      <c r="B86" s="1"/>
      <c r="C86" s="4"/>
      <c r="D86" s="1"/>
      <c r="E86" s="5"/>
      <c r="F86" s="1"/>
      <c r="G86" s="1"/>
      <c r="H86" s="1">
        <f t="shared" si="4"/>
        <v>0</v>
      </c>
      <c r="I86" s="4" t="s">
        <v>17</v>
      </c>
      <c r="J86" s="13"/>
    </row>
    <row r="87" spans="1:10">
      <c r="A87" s="1">
        <v>83</v>
      </c>
      <c r="B87" s="1"/>
      <c r="C87" s="4"/>
      <c r="D87" s="1"/>
      <c r="E87" s="5"/>
      <c r="F87" s="1"/>
      <c r="G87" s="1"/>
      <c r="H87" s="1">
        <f t="shared" si="4"/>
        <v>0</v>
      </c>
      <c r="I87" s="4" t="s">
        <v>17</v>
      </c>
      <c r="J87" s="13"/>
    </row>
    <row r="88" spans="1:10">
      <c r="A88" s="1">
        <v>84</v>
      </c>
      <c r="B88" s="1"/>
      <c r="C88" s="4"/>
      <c r="D88" s="1"/>
      <c r="E88" s="5"/>
      <c r="F88" s="1"/>
      <c r="G88" s="1"/>
      <c r="H88" s="1">
        <f t="shared" si="4"/>
        <v>0</v>
      </c>
      <c r="I88" s="4" t="s">
        <v>17</v>
      </c>
      <c r="J88" s="13"/>
    </row>
    <row r="89" spans="1:10">
      <c r="A89" s="1">
        <v>85</v>
      </c>
      <c r="B89" s="1"/>
      <c r="C89" s="4"/>
      <c r="D89" s="1"/>
      <c r="E89" s="5"/>
      <c r="F89" s="1"/>
      <c r="G89" s="1"/>
      <c r="H89" s="1">
        <f t="shared" si="4"/>
        <v>0</v>
      </c>
      <c r="I89" s="4" t="s">
        <v>17</v>
      </c>
      <c r="J89" s="13"/>
    </row>
    <row r="90" spans="1:10">
      <c r="A90" s="1">
        <v>86</v>
      </c>
      <c r="B90" s="1"/>
      <c r="C90" s="4"/>
      <c r="D90" s="1"/>
      <c r="E90" s="5"/>
      <c r="F90" s="1"/>
      <c r="G90" s="1"/>
      <c r="H90" s="1">
        <f t="shared" si="4"/>
        <v>0</v>
      </c>
      <c r="I90" s="4" t="s">
        <v>17</v>
      </c>
      <c r="J90" s="13"/>
    </row>
    <row r="91" spans="1:10">
      <c r="A91" s="1">
        <v>87</v>
      </c>
      <c r="B91" s="1"/>
      <c r="C91" s="4"/>
      <c r="D91" s="1"/>
      <c r="E91" s="5"/>
      <c r="F91" s="1"/>
      <c r="G91" s="1"/>
      <c r="H91" s="1">
        <f t="shared" si="4"/>
        <v>0</v>
      </c>
      <c r="I91" s="4" t="s">
        <v>17</v>
      </c>
      <c r="J91" s="13"/>
    </row>
    <row r="92" spans="1:10">
      <c r="A92" s="1">
        <v>88</v>
      </c>
      <c r="B92" s="1"/>
      <c r="C92" s="4"/>
      <c r="D92" s="1"/>
      <c r="E92" s="5"/>
      <c r="F92" s="1"/>
      <c r="G92" s="1"/>
      <c r="H92" s="1">
        <f t="shared" si="4"/>
        <v>0</v>
      </c>
      <c r="I92" s="4" t="s">
        <v>17</v>
      </c>
      <c r="J92" s="13"/>
    </row>
    <row r="93" spans="1:10">
      <c r="A93" s="1">
        <v>89</v>
      </c>
      <c r="B93" s="1"/>
      <c r="C93" s="4"/>
      <c r="D93" s="1"/>
      <c r="E93" s="5"/>
      <c r="F93" s="1"/>
      <c r="G93" s="1"/>
      <c r="H93" s="1">
        <f t="shared" si="4"/>
        <v>0</v>
      </c>
      <c r="I93" s="4" t="s">
        <v>17</v>
      </c>
      <c r="J93" s="13"/>
    </row>
    <row r="94" spans="1:10">
      <c r="A94" s="1">
        <v>90</v>
      </c>
      <c r="B94" s="1"/>
      <c r="C94" s="4"/>
      <c r="D94" s="1"/>
      <c r="E94" s="5"/>
      <c r="F94" s="1"/>
      <c r="G94" s="1"/>
      <c r="H94" s="1">
        <f t="shared" si="4"/>
        <v>0</v>
      </c>
      <c r="I94" s="4" t="s">
        <v>17</v>
      </c>
      <c r="J94" s="13"/>
    </row>
    <row r="95" spans="1:10">
      <c r="A95" s="1">
        <v>91</v>
      </c>
      <c r="B95" s="1"/>
      <c r="C95" s="4"/>
      <c r="D95" s="1"/>
      <c r="E95" s="5"/>
      <c r="F95" s="1"/>
      <c r="G95" s="1"/>
      <c r="H95" s="1">
        <f t="shared" si="4"/>
        <v>0</v>
      </c>
      <c r="I95" s="4" t="s">
        <v>17</v>
      </c>
      <c r="J95" s="13"/>
    </row>
    <row r="96" spans="1:10">
      <c r="A96" s="1">
        <v>92</v>
      </c>
      <c r="B96" s="1"/>
      <c r="C96" s="4"/>
      <c r="D96" s="1"/>
      <c r="E96" s="5"/>
      <c r="F96" s="1"/>
      <c r="G96" s="1"/>
      <c r="H96" s="1">
        <f t="shared" si="4"/>
        <v>0</v>
      </c>
      <c r="I96" s="4" t="s">
        <v>17</v>
      </c>
      <c r="J96" s="13"/>
    </row>
    <row r="97" spans="1:10">
      <c r="A97" s="1">
        <v>93</v>
      </c>
      <c r="B97" s="1"/>
      <c r="C97" s="4"/>
      <c r="D97" s="1"/>
      <c r="E97" s="5"/>
      <c r="F97" s="1"/>
      <c r="G97" s="1"/>
      <c r="H97" s="1">
        <f t="shared" si="4"/>
        <v>0</v>
      </c>
      <c r="I97" s="4" t="s">
        <v>17</v>
      </c>
      <c r="J97" s="13"/>
    </row>
    <row r="98" spans="1:10">
      <c r="A98" s="1">
        <v>94</v>
      </c>
      <c r="B98" s="1"/>
      <c r="C98" s="4"/>
      <c r="D98" s="1"/>
      <c r="E98" s="5"/>
      <c r="F98" s="1"/>
      <c r="G98" s="1"/>
      <c r="H98" s="1">
        <f t="shared" si="4"/>
        <v>0</v>
      </c>
      <c r="I98" s="4" t="s">
        <v>17</v>
      </c>
      <c r="J98" s="13"/>
    </row>
    <row r="99" spans="1:10">
      <c r="A99" s="1">
        <v>95</v>
      </c>
      <c r="B99" s="1"/>
      <c r="C99" s="4"/>
      <c r="D99" s="1"/>
      <c r="E99" s="5"/>
      <c r="F99" s="1"/>
      <c r="G99" s="1"/>
      <c r="H99" s="1">
        <f t="shared" si="4"/>
        <v>0</v>
      </c>
      <c r="I99" s="4" t="s">
        <v>17</v>
      </c>
      <c r="J99" s="13"/>
    </row>
    <row r="100" spans="1:10">
      <c r="A100" s="1">
        <v>96</v>
      </c>
      <c r="B100" s="1"/>
      <c r="C100" s="4"/>
      <c r="D100" s="1"/>
      <c r="E100" s="5"/>
      <c r="F100" s="1"/>
      <c r="G100" s="1"/>
      <c r="H100" s="1">
        <f t="shared" si="4"/>
        <v>0</v>
      </c>
      <c r="I100" s="4" t="s">
        <v>17</v>
      </c>
      <c r="J100" s="13"/>
    </row>
    <row r="101" spans="1:10">
      <c r="A101" s="1">
        <v>97</v>
      </c>
      <c r="B101" s="1"/>
      <c r="C101" s="4"/>
      <c r="D101" s="1"/>
      <c r="E101" s="5"/>
      <c r="F101" s="1"/>
      <c r="G101" s="1"/>
      <c r="H101" s="1">
        <f t="shared" si="4"/>
        <v>0</v>
      </c>
      <c r="I101" s="4" t="s">
        <v>17</v>
      </c>
      <c r="J101" s="13"/>
    </row>
    <row r="102" spans="1:10">
      <c r="A102" s="1">
        <v>98</v>
      </c>
      <c r="B102" s="1"/>
      <c r="C102" s="4"/>
      <c r="D102" s="1"/>
      <c r="E102" s="5"/>
      <c r="F102" s="1"/>
      <c r="G102" s="1"/>
      <c r="H102" s="1">
        <f t="shared" si="4"/>
        <v>0</v>
      </c>
      <c r="I102" s="4" t="s">
        <v>17</v>
      </c>
      <c r="J102" s="13"/>
    </row>
    <row r="103" spans="1:10">
      <c r="A103" s="1">
        <v>99</v>
      </c>
      <c r="B103" s="1"/>
      <c r="C103" s="4"/>
      <c r="D103" s="1"/>
      <c r="E103" s="5"/>
      <c r="F103" s="1"/>
      <c r="G103" s="1"/>
      <c r="H103" s="1">
        <f t="shared" si="4"/>
        <v>0</v>
      </c>
      <c r="I103" s="4" t="s">
        <v>17</v>
      </c>
      <c r="J103" s="13"/>
    </row>
  </sheetData>
  <autoFilter xmlns:etc="http://www.wps.cn/officeDocument/2017/etCustomData" ref="B1:I103" etc:filterBottomFollowUsedRange="0">
    <extLst/>
  </autoFilter>
  <mergeCells count="8">
    <mergeCell ref="A10:A11"/>
    <mergeCell ref="A13:A15"/>
    <mergeCell ref="B10:B11"/>
    <mergeCell ref="B13:B15"/>
    <mergeCell ref="C10:C11"/>
    <mergeCell ref="C13:C15"/>
    <mergeCell ref="J10:J11"/>
    <mergeCell ref="J13:J15"/>
  </mergeCells>
  <dataValidations count="1">
    <dataValidation type="list" allowBlank="1" showInputMessage="1" showErrorMessage="1" sqref="I$1:I$1048576">
      <formula1>$I$2:$I$20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workbookViewId="0">
      <selection activeCell="M2" sqref="M2:M4"/>
    </sheetView>
  </sheetViews>
  <sheetFormatPr defaultColWidth="9" defaultRowHeight="13.5"/>
  <cols>
    <col min="2" max="2" width="10.375"/>
    <col min="8" max="8" width="22.125" customWidth="1"/>
    <col min="9" max="9" width="11.875" style="3" customWidth="1"/>
    <col min="11" max="11" width="10.875" customWidth="1"/>
  </cols>
  <sheetData>
    <row r="1" spans="1:13">
      <c r="A1" s="4" t="s">
        <v>7</v>
      </c>
      <c r="B1" s="5" t="s">
        <v>56</v>
      </c>
      <c r="C1" s="5" t="s">
        <v>57</v>
      </c>
      <c r="D1" s="5" t="s">
        <v>58</v>
      </c>
      <c r="E1" s="5" t="s">
        <v>59</v>
      </c>
      <c r="F1" s="5" t="s">
        <v>60</v>
      </c>
      <c r="G1" s="5" t="s">
        <v>61</v>
      </c>
      <c r="H1" s="5" t="s">
        <v>62</v>
      </c>
      <c r="I1" s="1" t="s">
        <v>63</v>
      </c>
      <c r="J1" s="5" t="s">
        <v>64</v>
      </c>
      <c r="K1" s="5" t="s">
        <v>65</v>
      </c>
      <c r="L1" s="5" t="s">
        <v>66</v>
      </c>
      <c r="M1" s="5" t="s">
        <v>67</v>
      </c>
    </row>
    <row r="2" spans="1:13">
      <c r="A2" s="4">
        <v>1</v>
      </c>
      <c r="B2" s="6">
        <v>46188</v>
      </c>
      <c r="C2" s="29" t="s">
        <v>21</v>
      </c>
      <c r="D2" s="2" t="s">
        <v>22</v>
      </c>
      <c r="E2" s="5">
        <v>4300</v>
      </c>
      <c r="F2" s="2">
        <v>4.8581</v>
      </c>
      <c r="G2" s="5">
        <v>5.17</v>
      </c>
      <c r="H2" s="5" t="s">
        <v>68</v>
      </c>
      <c r="I2" s="1">
        <v>0</v>
      </c>
      <c r="J2" s="5">
        <f>E2*(G2-F2)-I2</f>
        <v>1341.17</v>
      </c>
      <c r="K2" s="5">
        <v>1308.3</v>
      </c>
      <c r="L2" s="7">
        <f>SUM(K2:K4)</f>
        <v>9745.52</v>
      </c>
      <c r="M2" s="7">
        <f>SUM(L2)</f>
        <v>9745.52</v>
      </c>
    </row>
    <row r="3" spans="1:13">
      <c r="A3" s="4">
        <v>2</v>
      </c>
      <c r="B3" s="6">
        <v>46190</v>
      </c>
      <c r="C3" s="5">
        <v>600172</v>
      </c>
      <c r="D3" s="5" t="s">
        <v>48</v>
      </c>
      <c r="E3" s="5">
        <v>600</v>
      </c>
      <c r="F3" s="2">
        <v>12.2123</v>
      </c>
      <c r="G3" s="5">
        <v>13</v>
      </c>
      <c r="H3" s="5" t="s">
        <v>68</v>
      </c>
      <c r="I3" s="1">
        <v>0</v>
      </c>
      <c r="J3" s="5">
        <f t="shared" ref="J3:J9" si="0">E3*(G3-F3)-I3</f>
        <v>472.619999999999</v>
      </c>
      <c r="K3" s="5">
        <v>460.95</v>
      </c>
      <c r="L3" s="8"/>
      <c r="M3" s="8"/>
    </row>
    <row r="4" spans="1:13">
      <c r="A4" s="4">
        <v>3</v>
      </c>
      <c r="B4" s="6">
        <v>46199</v>
      </c>
      <c r="C4" s="1">
        <v>601066</v>
      </c>
      <c r="D4" s="4" t="s">
        <v>39</v>
      </c>
      <c r="E4" s="5">
        <v>2400</v>
      </c>
      <c r="F4" s="5">
        <v>27.6302</v>
      </c>
      <c r="G4" s="5">
        <v>31</v>
      </c>
      <c r="H4" s="5" t="s">
        <v>69</v>
      </c>
      <c r="I4" s="1">
        <v>111.25</v>
      </c>
      <c r="J4" s="5">
        <f t="shared" si="0"/>
        <v>7976.27</v>
      </c>
      <c r="K4" s="5">
        <v>7976.27</v>
      </c>
      <c r="L4" s="9"/>
      <c r="M4" s="9"/>
    </row>
    <row r="5" spans="1:13">
      <c r="A5" s="4">
        <v>4</v>
      </c>
      <c r="B5" s="5"/>
      <c r="C5" s="5"/>
      <c r="D5" s="5"/>
      <c r="E5" s="5"/>
      <c r="F5" s="5"/>
      <c r="G5" s="5"/>
      <c r="H5" s="5"/>
      <c r="I5" s="1"/>
      <c r="J5" s="5">
        <f t="shared" si="0"/>
        <v>0</v>
      </c>
      <c r="K5" s="5"/>
      <c r="L5" s="5"/>
      <c r="M5" s="5"/>
    </row>
    <row r="6" spans="1:13">
      <c r="A6" s="4">
        <v>5</v>
      </c>
      <c r="B6" s="5"/>
      <c r="C6" s="5"/>
      <c r="D6" s="5"/>
      <c r="E6" s="5"/>
      <c r="F6" s="5"/>
      <c r="G6" s="5"/>
      <c r="H6" s="5"/>
      <c r="I6" s="1"/>
      <c r="J6" s="5">
        <f t="shared" si="0"/>
        <v>0</v>
      </c>
      <c r="K6" s="5"/>
      <c r="L6" s="5"/>
      <c r="M6" s="5"/>
    </row>
    <row r="7" spans="1:13">
      <c r="A7" s="4">
        <v>6</v>
      </c>
      <c r="B7" s="5"/>
      <c r="C7" s="5"/>
      <c r="D7" s="5"/>
      <c r="E7" s="5"/>
      <c r="F7" s="5"/>
      <c r="G7" s="5"/>
      <c r="H7" s="5"/>
      <c r="I7" s="1"/>
      <c r="J7" s="5">
        <f t="shared" si="0"/>
        <v>0</v>
      </c>
      <c r="K7" s="5"/>
      <c r="L7" s="5"/>
      <c r="M7" s="5"/>
    </row>
    <row r="8" spans="1:13">
      <c r="A8" s="4">
        <v>7</v>
      </c>
      <c r="B8" s="5"/>
      <c r="C8" s="5"/>
      <c r="D8" s="5"/>
      <c r="E8" s="5"/>
      <c r="F8" s="5"/>
      <c r="G8" s="5"/>
      <c r="H8" s="5"/>
      <c r="I8" s="1"/>
      <c r="J8" s="5">
        <f t="shared" si="0"/>
        <v>0</v>
      </c>
      <c r="K8" s="5"/>
      <c r="L8" s="5"/>
      <c r="M8" s="5"/>
    </row>
    <row r="9" spans="1:13">
      <c r="A9" s="4">
        <v>8</v>
      </c>
      <c r="B9" s="5"/>
      <c r="C9" s="5"/>
      <c r="D9" s="5"/>
      <c r="E9" s="5"/>
      <c r="F9" s="5"/>
      <c r="G9" s="5"/>
      <c r="H9" s="5"/>
      <c r="I9" s="1"/>
      <c r="J9" s="5">
        <f t="shared" si="0"/>
        <v>0</v>
      </c>
      <c r="K9" s="5"/>
      <c r="L9" s="5"/>
      <c r="M9" s="5"/>
    </row>
    <row r="10" spans="1:13">
      <c r="A10" s="4" t="s">
        <v>70</v>
      </c>
      <c r="B10" s="4"/>
      <c r="C10" s="4"/>
      <c r="D10" s="4"/>
      <c r="E10" s="4"/>
      <c r="F10" s="4"/>
      <c r="G10" s="4"/>
      <c r="H10" s="4"/>
      <c r="I10" s="1"/>
      <c r="J10" s="4"/>
      <c r="K10" s="5">
        <f>SUM(K2:K9)</f>
        <v>9745.52</v>
      </c>
      <c r="L10" s="5"/>
      <c r="M10" s="5"/>
    </row>
  </sheetData>
  <autoFilter xmlns:etc="http://www.wps.cn/officeDocument/2017/etCustomData" ref="C1:D4" etc:filterBottomFollowUsedRange="0">
    <extLst/>
  </autoFilter>
  <mergeCells count="3">
    <mergeCell ref="A10:J10"/>
    <mergeCell ref="L2:L4"/>
    <mergeCell ref="M2:M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workbookViewId="0">
      <selection activeCell="B4" sqref="B4:C4"/>
    </sheetView>
  </sheetViews>
  <sheetFormatPr defaultColWidth="9" defaultRowHeight="13.5" outlineLevelCol="4"/>
  <cols>
    <col min="5" max="5" width="12.875" customWidth="1"/>
  </cols>
  <sheetData>
    <row r="1" spans="1:5">
      <c r="A1" t="s">
        <v>7</v>
      </c>
      <c r="B1" t="s">
        <v>8</v>
      </c>
      <c r="C1" t="s">
        <v>9</v>
      </c>
      <c r="D1" t="s">
        <v>71</v>
      </c>
      <c r="E1" t="s">
        <v>72</v>
      </c>
    </row>
    <row r="2" spans="1:5">
      <c r="A2">
        <v>1</v>
      </c>
      <c r="B2" s="29" t="s">
        <v>21</v>
      </c>
      <c r="C2" s="2" t="s">
        <v>22</v>
      </c>
      <c r="D2" s="3">
        <v>5.13</v>
      </c>
      <c r="E2" s="3" t="s">
        <v>73</v>
      </c>
    </row>
    <row r="3" spans="1:5">
      <c r="A3">
        <v>2</v>
      </c>
      <c r="B3">
        <v>601398</v>
      </c>
      <c r="C3" t="s">
        <v>74</v>
      </c>
      <c r="D3" s="3">
        <v>7.16</v>
      </c>
      <c r="E3">
        <v>6.6</v>
      </c>
    </row>
    <row r="4" spans="1:5">
      <c r="A4">
        <v>3</v>
      </c>
      <c r="B4">
        <v>600115</v>
      </c>
      <c r="C4" t="s">
        <v>52</v>
      </c>
      <c r="D4">
        <v>3.93</v>
      </c>
      <c r="E4">
        <v>3.8</v>
      </c>
    </row>
    <row r="5" spans="1:5">
      <c r="A5">
        <v>4</v>
      </c>
    </row>
    <row r="6" spans="1:5">
      <c r="A6">
        <v>5</v>
      </c>
    </row>
    <row r="7" spans="1:5">
      <c r="A7">
        <v>6</v>
      </c>
    </row>
    <row r="8" spans="1:5">
      <c r="A8">
        <v>7</v>
      </c>
    </row>
    <row r="9" spans="1:5">
      <c r="A9">
        <v>8</v>
      </c>
    </row>
    <row r="10" spans="1:5">
      <c r="A10">
        <v>9</v>
      </c>
    </row>
    <row r="11" spans="1:5">
      <c r="A11">
        <v>10</v>
      </c>
    </row>
    <row r="12" spans="1:5">
      <c r="A12">
        <v>11</v>
      </c>
    </row>
    <row r="13" spans="1:5">
      <c r="A13">
        <v>12</v>
      </c>
    </row>
    <row r="14" spans="1:5">
      <c r="A14">
        <v>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总投入</vt:lpstr>
      <vt:lpstr>清单</vt:lpstr>
      <vt:lpstr>已出售</vt:lpstr>
      <vt:lpstr>自选股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11456</dc:creator>
  <cp:lastModifiedBy>夜航船</cp:lastModifiedBy>
  <dcterms:created xsi:type="dcterms:W3CDTF">2026-06-09T03:37:00Z</dcterms:created>
  <dcterms:modified xsi:type="dcterms:W3CDTF">2026-07-01T03:15:28Z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009286E1F18B42E6B621D5673F1285FC_11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