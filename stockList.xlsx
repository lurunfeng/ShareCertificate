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 activeTab="1"/>
  </bookViews>
  <sheets>
    <sheet name="总投入" sheetId="2" r:id="rId1"/>
    <sheet name="清单" sheetId="1" r:id="rId2"/>
    <sheet name="定投股票" sheetId="6" r:id="rId3"/>
    <sheet name="已出售" sheetId="3" r:id="rId4"/>
    <sheet name="自选股" sheetId="4" r:id="rId5"/>
    <sheet name="做T的股票" sheetId="7" r:id="rId6"/>
  </sheets>
  <definedNames>
    <definedName name="_xlnm._FilterDatabase" localSheetId="1" hidden="1">清单!$B$1:$L$125</definedName>
    <definedName name="_xlnm._FilterDatabase" localSheetId="2" hidden="1">定投股票!$B$1:$I$93</definedName>
    <definedName name="_xlnm._FilterDatabase" localSheetId="3" hidden="1">已出售!$C$1:$D$6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<sst xmlns="http://schemas.openxmlformats.org/spreadsheetml/2006/main" count="441" uniqueCount="90">
  <si>
    <t>时间</t>
  </si>
  <si>
    <t>当前本金</t>
  </si>
  <si>
    <t>追加前金额</t>
  </si>
  <si>
    <t>追加金额</t>
  </si>
  <si>
    <t>转出金额</t>
  </si>
  <si>
    <t>当前亏损</t>
  </si>
  <si>
    <t>总金额</t>
  </si>
  <si>
    <t>编号</t>
  </si>
  <si>
    <t>编码</t>
  </si>
  <si>
    <t>名称</t>
  </si>
  <si>
    <t>购入/出售时间</t>
  </si>
  <si>
    <t>股价</t>
  </si>
  <si>
    <t>股数</t>
  </si>
  <si>
    <t>成本</t>
  </si>
  <si>
    <t>手续费</t>
  </si>
  <si>
    <t>去年最低股价</t>
  </si>
  <si>
    <t>今年最低股价</t>
  </si>
  <si>
    <t>状态</t>
  </si>
  <si>
    <t>建议</t>
  </si>
  <si>
    <t>华灿光电</t>
  </si>
  <si>
    <t>持有</t>
  </si>
  <si>
    <t>等待反弹出售</t>
  </si>
  <si>
    <t>售出</t>
  </si>
  <si>
    <t>山西焦化</t>
  </si>
  <si>
    <t>在7月中旬等待补仓，或者低于3.3后补仓，看情况</t>
  </si>
  <si>
    <t>000751</t>
  </si>
  <si>
    <t>锌业股份</t>
  </si>
  <si>
    <t>股票在4.2附近的时候增持1000股到2000股，盈利大于300元就可以抛出</t>
  </si>
  <si>
    <t>南京证券</t>
  </si>
  <si>
    <t>长期持有不做变动</t>
  </si>
  <si>
    <t>古越龙山</t>
  </si>
  <si>
    <t>低于8块的时候可以补仓，最多补仓1000股，在高于8块的时候售出进行做T</t>
  </si>
  <si>
    <t>000019</t>
  </si>
  <si>
    <t>深粮控股</t>
  </si>
  <si>
    <t>低于6块的时候补仓1000</t>
  </si>
  <si>
    <t>中国西电</t>
  </si>
  <si>
    <t>低于12可以考虑补仓，每次补仓500股</t>
  </si>
  <si>
    <t>电魂网络</t>
  </si>
  <si>
    <t>持有不做变动 等带反弹</t>
  </si>
  <si>
    <t>昆药集团</t>
  </si>
  <si>
    <t>在8左右的时候进行补仓，9块左右进行售出做T，每次600股</t>
  </si>
  <si>
    <t>航天电子</t>
  </si>
  <si>
    <t>暂不做任何的操作，但是如果低于</t>
  </si>
  <si>
    <t>中信建投</t>
  </si>
  <si>
    <t>1、6.19出售2400,31元每股
2、6.29买入1000股，29.3</t>
  </si>
  <si>
    <t>002716</t>
  </si>
  <si>
    <t>湖南白银</t>
  </si>
  <si>
    <t>也是在8~8.5之间 如果有余额就补仓1000股左右</t>
  </si>
  <si>
    <t>江龙船艇</t>
  </si>
  <si>
    <t>不做任何的处理 长期持有</t>
  </si>
  <si>
    <t>泰胜风能</t>
  </si>
  <si>
    <t>暂不做处理，长期持有</t>
  </si>
  <si>
    <t>黄河旋风</t>
  </si>
  <si>
    <t>在10元附件增持500股</t>
  </si>
  <si>
    <t>ST闻泰</t>
  </si>
  <si>
    <t>等待盈利后就出售，5%这个点吧 不过可能等不到了，那就持有</t>
  </si>
  <si>
    <t>中国东航</t>
  </si>
  <si>
    <t>华微电子</t>
  </si>
  <si>
    <t>000725</t>
  </si>
  <si>
    <t>京东方Ａ</t>
  </si>
  <si>
    <t>002858</t>
  </si>
  <si>
    <t>力盛体育</t>
  </si>
  <si>
    <t>天下秀</t>
  </si>
  <si>
    <t>工商银行</t>
  </si>
  <si>
    <t>出手时间</t>
  </si>
  <si>
    <t>股票代码</t>
  </si>
  <si>
    <t>股票名称</t>
  </si>
  <si>
    <t>总股数</t>
  </si>
  <si>
    <t>买入价</t>
  </si>
  <si>
    <t>出手价</t>
  </si>
  <si>
    <t>备注</t>
  </si>
  <si>
    <t>盈亏</t>
  </si>
  <si>
    <t>订正后盈亏</t>
  </si>
  <si>
    <t>月度盈亏</t>
  </si>
  <si>
    <t>季度盈亏</t>
  </si>
  <si>
    <t>单次购入单次售出</t>
  </si>
  <si>
    <t>6.09购入3400售出2400</t>
  </si>
  <si>
    <t>6.30购入1800股卖出1300</t>
  </si>
  <si>
    <t>6.16购入800股，卖出600股</t>
  </si>
  <si>
    <t>总盈亏</t>
  </si>
  <si>
    <t>当前股价</t>
  </si>
  <si>
    <t>预测最低股价</t>
  </si>
  <si>
    <t>3.5~4</t>
  </si>
  <si>
    <t>宁波能源</t>
  </si>
  <si>
    <t>4.5~4.8</t>
  </si>
  <si>
    <t>002716 湖南白银</t>
  </si>
  <si>
    <t>操作时间</t>
  </si>
  <si>
    <t>类型</t>
  </si>
  <si>
    <t>/</t>
  </si>
  <si>
    <t>京东方A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</si>
</sst>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14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14" fontId="0" fillId="0" borderId="1" xfId="0" applyNumberFormat="1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right" vertical="center"/>
    </xf>
    <xf numFmtId="0" fontId="0" fillId="0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14" fontId="0" fillId="2" borderId="1" xfId="0" applyNumberFormat="1" applyFill="1" applyBorder="1">
      <alignment vertical="center"/>
    </xf>
    <xf numFmtId="0" fontId="0" fillId="2" borderId="7" xfId="0" applyFill="1" applyBorder="1" applyAlignment="1">
      <alignment horizontal="right" vertical="center"/>
    </xf>
    <xf numFmtId="0" fontId="0" fillId="0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right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6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1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8" sqref="G8"/>
    </sheetView>
  </sheetViews>
  <sheetFormatPr defaultColWidth="9" defaultRowHeight="14.4" outlineLevelRow="7" outlineLevelCol="6"/>
  <cols>
    <col min="1" max="1" width="10.3703703703704" customWidth="1"/>
    <col min="2" max="2" width="8.87037037037037" customWidth="1"/>
    <col min="3" max="3" width="10.8703703703704" customWidth="1"/>
    <col min="4" max="6" width="8.87037037037037" customWidth="1"/>
  </cols>
  <sheetData>
    <row r="1" spans="1: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18">
        <v>46096</v>
      </c>
      <c r="B2" s="9">
        <f t="shared" ref="B2:B8" si="0">SUM(D2+C2)</f>
        <v>225842</v>
      </c>
      <c r="C2" s="9">
        <v>0</v>
      </c>
      <c r="D2" s="9">
        <v>225842</v>
      </c>
      <c r="E2" s="9">
        <v>0</v>
      </c>
      <c r="F2" s="9">
        <v>11837</v>
      </c>
      <c r="G2" s="9">
        <f t="shared" ref="G2:G8" si="1">SUM(B2+F2-E2)</f>
        <v>237679</v>
      </c>
    </row>
    <row r="3" spans="1:7">
      <c r="A3" s="18">
        <v>46107</v>
      </c>
      <c r="B3" s="9">
        <f t="shared" si="0"/>
        <v>236842</v>
      </c>
      <c r="C3" s="9">
        <f t="shared" ref="C3:C8" si="2">B2</f>
        <v>225842</v>
      </c>
      <c r="D3" s="9">
        <v>11000</v>
      </c>
      <c r="E3" s="9">
        <v>0</v>
      </c>
      <c r="F3" s="9">
        <v>11837</v>
      </c>
      <c r="G3" s="9">
        <f t="shared" si="1"/>
        <v>248679</v>
      </c>
    </row>
    <row r="4" spans="1:7">
      <c r="A4" s="18">
        <v>46101</v>
      </c>
      <c r="B4" s="9">
        <f t="shared" si="0"/>
        <v>256842</v>
      </c>
      <c r="C4" s="9">
        <f t="shared" si="2"/>
        <v>236842</v>
      </c>
      <c r="D4" s="9">
        <v>20000</v>
      </c>
      <c r="E4" s="9">
        <v>0</v>
      </c>
      <c r="F4" s="9">
        <v>11837</v>
      </c>
      <c r="G4" s="9">
        <f t="shared" si="1"/>
        <v>268679</v>
      </c>
    </row>
    <row r="5" spans="1:7">
      <c r="A5" s="18">
        <v>46177</v>
      </c>
      <c r="B5" s="9">
        <f t="shared" si="0"/>
        <v>266842</v>
      </c>
      <c r="C5" s="9">
        <f t="shared" si="2"/>
        <v>256842</v>
      </c>
      <c r="D5" s="9">
        <v>10000</v>
      </c>
      <c r="E5" s="9">
        <v>0</v>
      </c>
      <c r="F5" s="9">
        <v>11837</v>
      </c>
      <c r="G5" s="9">
        <f t="shared" si="1"/>
        <v>278679</v>
      </c>
    </row>
    <row r="6" spans="1:7">
      <c r="A6" s="18">
        <v>46182</v>
      </c>
      <c r="B6" s="9">
        <f t="shared" si="0"/>
        <v>276842</v>
      </c>
      <c r="C6" s="9">
        <f t="shared" si="2"/>
        <v>266842</v>
      </c>
      <c r="D6" s="9">
        <v>10000</v>
      </c>
      <c r="E6" s="9">
        <v>0</v>
      </c>
      <c r="F6" s="9">
        <v>11873</v>
      </c>
      <c r="G6" s="9">
        <f t="shared" si="1"/>
        <v>288715</v>
      </c>
    </row>
    <row r="7" spans="1:7">
      <c r="A7" s="18">
        <v>46184</v>
      </c>
      <c r="B7" s="9">
        <f t="shared" si="0"/>
        <v>281842</v>
      </c>
      <c r="C7" s="9">
        <f t="shared" si="2"/>
        <v>276842</v>
      </c>
      <c r="D7" s="9">
        <v>5000</v>
      </c>
      <c r="E7" s="9">
        <v>0</v>
      </c>
      <c r="F7" s="9">
        <v>11873</v>
      </c>
      <c r="G7" s="9">
        <f t="shared" si="1"/>
        <v>293715</v>
      </c>
    </row>
    <row r="8" spans="1:7">
      <c r="A8" s="18">
        <v>46190</v>
      </c>
      <c r="B8" s="9">
        <f t="shared" si="0"/>
        <v>282342</v>
      </c>
      <c r="C8" s="9">
        <f t="shared" si="2"/>
        <v>281842</v>
      </c>
      <c r="D8" s="9">
        <v>500</v>
      </c>
      <c r="E8" s="9">
        <v>0</v>
      </c>
      <c r="F8" s="9">
        <v>11873</v>
      </c>
      <c r="G8" s="9">
        <f t="shared" si="1"/>
        <v>294215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tabSelected="1" workbookViewId="0">
      <pane ySplit="1" topLeftCell="A12" activePane="bottomLeft" state="frozen"/>
      <selection/>
      <selection pane="bottomLeft" activeCell="J1" sqref="J1"/>
    </sheetView>
  </sheetViews>
  <sheetFormatPr defaultColWidth="9" defaultRowHeight="14.4"/>
  <cols>
    <col min="1" max="1" width="9" style="32"/>
    <col min="2" max="2" width="9.37037037037037" style="32"/>
    <col min="3" max="3" width="9" style="32"/>
    <col min="4" max="4" width="9" style="33"/>
    <col min="5" max="10" width="12.8703703703704" style="33" customWidth="1"/>
    <col min="11" max="11" width="12.8703703703704" style="34" customWidth="1"/>
    <col min="12" max="12" width="9" style="32"/>
    <col min="13" max="13" width="68.6296296296296" style="35" customWidth="1"/>
  </cols>
  <sheetData>
    <row r="1" s="23" customFormat="1" ht="28.8" spans="1:14">
      <c r="A1" s="17" t="s">
        <v>7</v>
      </c>
      <c r="B1" s="17" t="s">
        <v>8</v>
      </c>
      <c r="C1" s="17" t="s">
        <v>9</v>
      </c>
      <c r="D1" s="17" t="s">
        <v>8</v>
      </c>
      <c r="E1" s="36" t="s">
        <v>10</v>
      </c>
      <c r="F1" s="36" t="s">
        <v>11</v>
      </c>
      <c r="G1" s="36" t="s">
        <v>12</v>
      </c>
      <c r="H1" s="36" t="s">
        <v>13</v>
      </c>
      <c r="I1" s="36" t="s">
        <v>14</v>
      </c>
      <c r="J1" s="36" t="s">
        <v>15</v>
      </c>
      <c r="K1" s="37" t="s">
        <v>16</v>
      </c>
      <c r="L1" s="17" t="s">
        <v>17</v>
      </c>
      <c r="M1" s="26" t="s">
        <v>18</v>
      </c>
    </row>
    <row r="2" ht="20" customHeight="1" spans="1:14">
      <c r="A2" s="32">
        <v>1</v>
      </c>
      <c r="B2" s="32">
        <v>300323</v>
      </c>
      <c r="C2" s="32" t="s">
        <v>19</v>
      </c>
      <c r="D2" s="14">
        <v>1</v>
      </c>
      <c r="E2" s="13">
        <v>46182</v>
      </c>
      <c r="F2" s="14">
        <v>16.6114</v>
      </c>
      <c r="G2" s="14">
        <v>1600</v>
      </c>
      <c r="H2" s="14">
        <f>F2*G2</f>
        <v>26578.24</v>
      </c>
      <c r="I2" s="14"/>
      <c r="J2" s="38"/>
      <c r="K2" s="39">
        <v>9.99</v>
      </c>
      <c r="L2" s="17" t="s">
        <v>20</v>
      </c>
      <c r="M2" s="26" t="s">
        <v>21</v>
      </c>
      <c r="N2" s="23"/>
    </row>
    <row r="3" ht="20" customHeight="1" spans="1:14">
      <c r="D3" s="40">
        <v>2</v>
      </c>
      <c r="E3" s="41">
        <v>46234</v>
      </c>
      <c r="F3" s="31">
        <v>11</v>
      </c>
      <c r="G3" s="31">
        <v>-1000</v>
      </c>
      <c r="H3" s="40">
        <f>F3*G3</f>
        <v>-11000</v>
      </c>
      <c r="I3" s="40"/>
      <c r="J3" s="42"/>
      <c r="K3" s="43"/>
      <c r="L3" s="44" t="s">
        <v>22</v>
      </c>
      <c r="M3" s="26"/>
    </row>
    <row r="4" ht="20" customHeight="1" spans="1:14">
      <c r="A4" s="17">
        <v>2</v>
      </c>
      <c r="B4" s="17">
        <v>600740</v>
      </c>
      <c r="C4" s="17" t="s">
        <v>23</v>
      </c>
      <c r="D4" s="14">
        <v>1</v>
      </c>
      <c r="E4" s="13">
        <v>46182</v>
      </c>
      <c r="F4" s="14">
        <v>4.1541</v>
      </c>
      <c r="G4" s="14">
        <v>1800</v>
      </c>
      <c r="H4" s="14">
        <f>F4*G4</f>
        <v>7477.38</v>
      </c>
      <c r="I4" s="14"/>
      <c r="J4" s="14"/>
      <c r="K4" s="45">
        <v>3.15</v>
      </c>
      <c r="L4" s="17" t="s">
        <v>20</v>
      </c>
      <c r="M4" s="26" t="s">
        <v>24</v>
      </c>
    </row>
    <row r="5" ht="20" customHeight="1" spans="1:14">
      <c r="A5" s="46">
        <v>3</v>
      </c>
      <c r="B5" s="61" t="s">
        <v>25</v>
      </c>
      <c r="C5" s="46" t="s">
        <v>26</v>
      </c>
      <c r="D5" s="28">
        <v>1</v>
      </c>
      <c r="E5" s="47">
        <v>46182</v>
      </c>
      <c r="F5" s="28">
        <v>4.8581</v>
      </c>
      <c r="G5" s="28">
        <v>-4300</v>
      </c>
      <c r="H5" s="28">
        <f>F5*G5</f>
        <v>-20889.83</v>
      </c>
      <c r="I5" s="28"/>
      <c r="J5" s="28"/>
      <c r="K5" s="48">
        <v>4.02</v>
      </c>
      <c r="L5" s="29" t="s">
        <v>22</v>
      </c>
      <c r="M5" s="4" t="s">
        <v>27</v>
      </c>
    </row>
    <row r="6" ht="20" customHeight="1" spans="1:14">
      <c r="A6" s="17">
        <v>4</v>
      </c>
      <c r="B6" s="17">
        <v>601990</v>
      </c>
      <c r="C6" s="17" t="s">
        <v>28</v>
      </c>
      <c r="D6" s="14">
        <v>1</v>
      </c>
      <c r="E6" s="13">
        <v>46182</v>
      </c>
      <c r="F6" s="14">
        <v>9.9227</v>
      </c>
      <c r="G6" s="14">
        <v>500</v>
      </c>
      <c r="H6" s="14">
        <f>F6*G6</f>
        <v>4961.35</v>
      </c>
      <c r="I6" s="14"/>
      <c r="J6" s="14"/>
      <c r="K6" s="45">
        <v>6.46</v>
      </c>
      <c r="L6" s="17" t="s">
        <v>20</v>
      </c>
      <c r="M6" s="26" t="s">
        <v>29</v>
      </c>
    </row>
    <row r="7" ht="20" customHeight="1" spans="1:14">
      <c r="A7" s="32">
        <v>5</v>
      </c>
      <c r="B7" s="32">
        <v>600059</v>
      </c>
      <c r="C7" s="32" t="s">
        <v>30</v>
      </c>
      <c r="D7" s="14">
        <v>1</v>
      </c>
      <c r="E7" s="13">
        <v>46182</v>
      </c>
      <c r="F7" s="14">
        <v>10.9008</v>
      </c>
      <c r="G7" s="14">
        <v>1000</v>
      </c>
      <c r="H7" s="14">
        <f>F7*G7</f>
        <v>10900.8</v>
      </c>
      <c r="I7" s="14"/>
      <c r="J7" s="38"/>
      <c r="K7" s="39">
        <v>7.21</v>
      </c>
      <c r="L7" s="17" t="s">
        <v>20</v>
      </c>
      <c r="M7" s="26" t="s">
        <v>31</v>
      </c>
    </row>
    <row r="8" ht="20" customHeight="1" spans="1:14">
      <c r="D8" s="40">
        <v>2</v>
      </c>
      <c r="E8" s="41">
        <v>46234</v>
      </c>
      <c r="F8" s="31">
        <v>8.1</v>
      </c>
      <c r="G8" s="31">
        <v>-500</v>
      </c>
      <c r="H8" s="40">
        <f>F8*G8</f>
        <v>-4050</v>
      </c>
      <c r="I8" s="40"/>
      <c r="J8" s="42"/>
      <c r="K8" s="43"/>
      <c r="L8" s="44" t="s">
        <v>22</v>
      </c>
      <c r="M8" s="26"/>
    </row>
    <row r="9" ht="20" customHeight="1" spans="1:14">
      <c r="A9" s="32">
        <v>6</v>
      </c>
      <c r="B9" s="62" t="s">
        <v>32</v>
      </c>
      <c r="C9" s="32" t="s">
        <v>33</v>
      </c>
      <c r="D9" s="14">
        <v>1</v>
      </c>
      <c r="E9" s="13">
        <v>46182</v>
      </c>
      <c r="F9" s="14">
        <v>9.6507</v>
      </c>
      <c r="G9" s="14">
        <v>1000</v>
      </c>
      <c r="H9" s="14">
        <f>F9*G9</f>
        <v>9650.7</v>
      </c>
      <c r="I9" s="14"/>
      <c r="J9" s="38"/>
      <c r="K9" s="49">
        <v>5.55</v>
      </c>
      <c r="L9" s="17" t="s">
        <v>20</v>
      </c>
      <c r="M9" s="26" t="s">
        <v>34</v>
      </c>
    </row>
    <row r="10" ht="20" customHeight="1" spans="1:14">
      <c r="D10" s="40">
        <v>2</v>
      </c>
      <c r="E10" s="41">
        <v>46234</v>
      </c>
      <c r="F10" s="31">
        <v>6.11</v>
      </c>
      <c r="G10" s="31">
        <v>-500</v>
      </c>
      <c r="H10" s="40">
        <f>F10*G10</f>
        <v>-3055</v>
      </c>
      <c r="I10" s="40"/>
      <c r="J10" s="42"/>
      <c r="K10" s="43"/>
      <c r="L10" s="44" t="s">
        <v>22</v>
      </c>
      <c r="M10" s="26"/>
    </row>
    <row r="11" ht="20" customHeight="1" spans="1:14">
      <c r="A11" s="32">
        <v>7</v>
      </c>
      <c r="B11" s="32">
        <v>601179</v>
      </c>
      <c r="C11" s="32" t="s">
        <v>35</v>
      </c>
      <c r="D11" s="14">
        <v>1</v>
      </c>
      <c r="E11" s="13">
        <v>46182</v>
      </c>
      <c r="F11" s="14">
        <v>20.12</v>
      </c>
      <c r="G11" s="14">
        <v>700</v>
      </c>
      <c r="H11" s="14">
        <f>F11*G11</f>
        <v>14084</v>
      </c>
      <c r="I11" s="14"/>
      <c r="J11" s="38"/>
      <c r="K11" s="39">
        <v>11.49</v>
      </c>
      <c r="L11" s="17" t="s">
        <v>20</v>
      </c>
      <c r="M11" s="26" t="s">
        <v>36</v>
      </c>
    </row>
    <row r="12" ht="20" customHeight="1" spans="1:14">
      <c r="D12" s="40">
        <v>2</v>
      </c>
      <c r="E12" s="41">
        <v>46234</v>
      </c>
      <c r="F12" s="31">
        <v>13.5</v>
      </c>
      <c r="G12" s="31">
        <v>-400</v>
      </c>
      <c r="H12" s="40">
        <f>F12*G12</f>
        <v>-5400</v>
      </c>
      <c r="I12" s="40"/>
      <c r="J12" s="50"/>
      <c r="K12" s="51"/>
      <c r="L12" s="44" t="s">
        <v>22</v>
      </c>
      <c r="M12" s="26"/>
    </row>
    <row r="13" ht="20" customHeight="1" spans="1:14">
      <c r="D13" s="14">
        <v>3</v>
      </c>
      <c r="E13" s="7">
        <v>46238</v>
      </c>
      <c r="F13" s="9">
        <v>14.4</v>
      </c>
      <c r="G13" s="9">
        <v>700</v>
      </c>
      <c r="H13" s="14">
        <f>F13*G13</f>
        <v>10080</v>
      </c>
      <c r="I13" s="14"/>
      <c r="J13" s="52"/>
      <c r="K13" s="53"/>
      <c r="L13" s="17" t="s">
        <v>20</v>
      </c>
      <c r="M13" s="26"/>
    </row>
    <row r="14" ht="20" customHeight="1" spans="1:14">
      <c r="A14" s="32">
        <v>8</v>
      </c>
      <c r="B14" s="32">
        <v>603258</v>
      </c>
      <c r="C14" s="32" t="s">
        <v>37</v>
      </c>
      <c r="D14" s="14">
        <v>1</v>
      </c>
      <c r="E14" s="13">
        <v>46182</v>
      </c>
      <c r="F14" s="14">
        <v>20.6888</v>
      </c>
      <c r="G14" s="14">
        <v>900</v>
      </c>
      <c r="H14" s="14">
        <f>F14*G14</f>
        <v>18619.92</v>
      </c>
      <c r="I14" s="14"/>
      <c r="J14" s="38"/>
      <c r="K14" s="39">
        <v>10.75</v>
      </c>
      <c r="L14" s="17" t="s">
        <v>20</v>
      </c>
      <c r="M14" s="26" t="s">
        <v>38</v>
      </c>
    </row>
    <row r="15" ht="20" customHeight="1" spans="1:14">
      <c r="D15" s="14">
        <v>2</v>
      </c>
      <c r="E15" s="13">
        <v>46233</v>
      </c>
      <c r="F15" s="14">
        <v>12.9</v>
      </c>
      <c r="G15" s="14">
        <v>500</v>
      </c>
      <c r="H15" s="14">
        <f>F15*G15</f>
        <v>6450</v>
      </c>
      <c r="I15" s="14"/>
      <c r="J15" s="54"/>
      <c r="K15" s="55"/>
      <c r="L15" s="17" t="s">
        <v>20</v>
      </c>
      <c r="M15" s="26"/>
    </row>
    <row r="16" ht="20" customHeight="1" spans="1:14">
      <c r="D16" s="40">
        <v>3</v>
      </c>
      <c r="E16" s="41">
        <v>46234</v>
      </c>
      <c r="F16" s="31">
        <v>12.6</v>
      </c>
      <c r="G16" s="31">
        <v>-700</v>
      </c>
      <c r="H16" s="40">
        <f>F16*G16</f>
        <v>-8820</v>
      </c>
      <c r="I16" s="40"/>
      <c r="J16" s="42"/>
      <c r="K16" s="43"/>
      <c r="L16" s="44" t="s">
        <v>22</v>
      </c>
      <c r="M16" s="26"/>
    </row>
    <row r="17" ht="20" customHeight="1" spans="1:13">
      <c r="A17" s="17">
        <v>9</v>
      </c>
      <c r="B17" s="17">
        <v>600422</v>
      </c>
      <c r="C17" s="17" t="s">
        <v>39</v>
      </c>
      <c r="D17" s="14">
        <v>1</v>
      </c>
      <c r="E17" s="13">
        <v>46182</v>
      </c>
      <c r="F17" s="14">
        <v>21.0619</v>
      </c>
      <c r="G17" s="14">
        <v>600</v>
      </c>
      <c r="H17" s="14">
        <f>F17*G17</f>
        <v>12637.14</v>
      </c>
      <c r="I17" s="14"/>
      <c r="J17" s="38"/>
      <c r="K17" s="39">
        <v>7.45</v>
      </c>
      <c r="L17" s="17" t="s">
        <v>20</v>
      </c>
      <c r="M17" s="26" t="s">
        <v>40</v>
      </c>
    </row>
    <row r="18" ht="20" customHeight="1" spans="1:13">
      <c r="A18" s="17"/>
      <c r="B18" s="17"/>
      <c r="C18" s="17"/>
      <c r="D18" s="40">
        <v>2</v>
      </c>
      <c r="E18" s="56">
        <v>46188</v>
      </c>
      <c r="F18" s="40">
        <v>8.5</v>
      </c>
      <c r="G18" s="40">
        <v>600</v>
      </c>
      <c r="H18" s="40">
        <f>F18*G18</f>
        <v>5100</v>
      </c>
      <c r="I18" s="40"/>
      <c r="J18" s="50"/>
      <c r="K18" s="51"/>
      <c r="L18" s="44" t="s">
        <v>20</v>
      </c>
      <c r="M18" s="26"/>
    </row>
    <row r="19" ht="20" customHeight="1" spans="1:13">
      <c r="A19" s="17"/>
      <c r="B19" s="17"/>
      <c r="C19" s="17"/>
      <c r="D19" s="40">
        <v>3</v>
      </c>
      <c r="E19" s="56">
        <v>46226</v>
      </c>
      <c r="F19" s="40">
        <v>9</v>
      </c>
      <c r="G19" s="40">
        <v>-600</v>
      </c>
      <c r="H19" s="40">
        <f>F19*G19</f>
        <v>-5400</v>
      </c>
      <c r="I19" s="40"/>
      <c r="J19" s="42"/>
      <c r="K19" s="43"/>
      <c r="L19" s="44" t="s">
        <v>22</v>
      </c>
      <c r="M19" s="26"/>
    </row>
    <row r="20" ht="20" customHeight="1" spans="1:13">
      <c r="A20" s="32">
        <v>10</v>
      </c>
      <c r="B20" s="32">
        <v>600879</v>
      </c>
      <c r="C20" s="32" t="s">
        <v>41</v>
      </c>
      <c r="D20" s="14">
        <v>1</v>
      </c>
      <c r="E20" s="13">
        <v>46182</v>
      </c>
      <c r="F20" s="14">
        <v>26.2661</v>
      </c>
      <c r="G20" s="14">
        <v>700</v>
      </c>
      <c r="H20" s="14">
        <f>F20*G20</f>
        <v>18386.27</v>
      </c>
      <c r="I20" s="14"/>
      <c r="J20" s="38"/>
      <c r="K20" s="39">
        <v>13.85</v>
      </c>
      <c r="L20" s="17" t="s">
        <v>20</v>
      </c>
      <c r="M20" s="26" t="s">
        <v>42</v>
      </c>
    </row>
    <row r="21" ht="20" customHeight="1" spans="1:13">
      <c r="D21" s="40">
        <v>2</v>
      </c>
      <c r="E21" s="41">
        <v>46234</v>
      </c>
      <c r="F21" s="31">
        <v>14.65</v>
      </c>
      <c r="G21" s="31">
        <v>-400</v>
      </c>
      <c r="H21" s="40">
        <f>F21*G21</f>
        <v>-5860</v>
      </c>
      <c r="I21" s="40"/>
      <c r="J21" s="42"/>
      <c r="K21" s="43"/>
      <c r="L21" s="44" t="s">
        <v>22</v>
      </c>
      <c r="M21" s="57"/>
    </row>
    <row r="22" ht="20" customHeight="1" spans="1:13">
      <c r="A22" s="32">
        <v>11</v>
      </c>
      <c r="B22" s="32">
        <v>601066</v>
      </c>
      <c r="C22" s="32" t="s">
        <v>43</v>
      </c>
      <c r="D22" s="14">
        <v>1</v>
      </c>
      <c r="E22" s="13">
        <v>46182</v>
      </c>
      <c r="F22" s="14">
        <v>27.6302</v>
      </c>
      <c r="G22" s="14">
        <v>3400</v>
      </c>
      <c r="H22" s="14">
        <f>F22*G22</f>
        <v>93942.68</v>
      </c>
      <c r="I22" s="14"/>
      <c r="J22" s="38"/>
      <c r="K22" s="39">
        <v>26.18</v>
      </c>
      <c r="L22" s="17" t="s">
        <v>20</v>
      </c>
      <c r="M22" s="57" t="s">
        <v>44</v>
      </c>
    </row>
    <row r="23" ht="20" customHeight="1" spans="1:13">
      <c r="D23" s="40">
        <v>2</v>
      </c>
      <c r="E23" s="56">
        <v>46192</v>
      </c>
      <c r="F23" s="40">
        <v>31</v>
      </c>
      <c r="G23" s="40">
        <v>-2400</v>
      </c>
      <c r="H23" s="40">
        <f>F23*G23</f>
        <v>-74400</v>
      </c>
      <c r="I23" s="40"/>
      <c r="J23" s="50"/>
      <c r="K23" s="51"/>
      <c r="L23" s="44" t="s">
        <v>22</v>
      </c>
      <c r="M23" s="26"/>
    </row>
    <row r="24" ht="20" customHeight="1" spans="1:13">
      <c r="D24" s="14">
        <v>3</v>
      </c>
      <c r="E24" s="13">
        <v>46202</v>
      </c>
      <c r="F24" s="14">
        <v>29.3</v>
      </c>
      <c r="G24" s="14">
        <v>1000</v>
      </c>
      <c r="H24" s="14">
        <f>F24*G24</f>
        <v>29300</v>
      </c>
      <c r="I24" s="14"/>
      <c r="J24" s="54"/>
      <c r="K24" s="55"/>
      <c r="L24" s="17" t="s">
        <v>20</v>
      </c>
      <c r="M24" s="26"/>
    </row>
    <row r="25" ht="20" customHeight="1" spans="1:13">
      <c r="D25" s="40">
        <v>4</v>
      </c>
      <c r="E25" s="41">
        <v>46234</v>
      </c>
      <c r="F25" s="31">
        <v>26.1</v>
      </c>
      <c r="G25" s="31">
        <v>-1000</v>
      </c>
      <c r="H25" s="40">
        <f>F25*G25</f>
        <v>-26100</v>
      </c>
      <c r="I25" s="40"/>
      <c r="J25" s="42"/>
      <c r="K25" s="43"/>
      <c r="L25" s="44" t="s">
        <v>22</v>
      </c>
      <c r="M25" s="26"/>
    </row>
    <row r="26" ht="20" customHeight="1" spans="1:13">
      <c r="A26" s="32">
        <v>12</v>
      </c>
      <c r="B26" s="62" t="s">
        <v>45</v>
      </c>
      <c r="C26" s="32" t="s">
        <v>46</v>
      </c>
      <c r="D26" s="14">
        <v>1</v>
      </c>
      <c r="E26" s="13">
        <v>46182</v>
      </c>
      <c r="F26" s="14">
        <v>18.3681</v>
      </c>
      <c r="G26" s="14">
        <v>1000</v>
      </c>
      <c r="H26" s="14">
        <f>F26*G26</f>
        <v>18368.1</v>
      </c>
      <c r="I26" s="14"/>
      <c r="J26" s="38"/>
      <c r="K26" s="39">
        <v>7.12</v>
      </c>
      <c r="L26" s="17" t="s">
        <v>20</v>
      </c>
      <c r="M26" s="26" t="s">
        <v>47</v>
      </c>
    </row>
    <row r="27" ht="20" customHeight="1" spans="1:13">
      <c r="D27" s="40">
        <v>2</v>
      </c>
      <c r="E27" s="56">
        <v>46234</v>
      </c>
      <c r="F27" s="40">
        <v>7.9</v>
      </c>
      <c r="G27" s="40">
        <v>-500</v>
      </c>
      <c r="H27" s="40">
        <f>F27*G27</f>
        <v>-3950</v>
      </c>
      <c r="I27" s="40"/>
      <c r="J27" s="50"/>
      <c r="K27" s="51"/>
      <c r="L27" s="44" t="s">
        <v>22</v>
      </c>
      <c r="M27" s="26"/>
    </row>
    <row r="28" ht="20" customHeight="1" spans="1:13">
      <c r="D28" s="14">
        <v>3</v>
      </c>
      <c r="E28" s="13">
        <v>46239</v>
      </c>
      <c r="F28" s="14">
        <v>8.6</v>
      </c>
      <c r="G28" s="14">
        <v>500</v>
      </c>
      <c r="H28" s="14">
        <f>F28*G28</f>
        <v>4300</v>
      </c>
      <c r="I28" s="14"/>
      <c r="J28" s="52"/>
      <c r="K28" s="53"/>
      <c r="L28" s="17" t="s">
        <v>20</v>
      </c>
      <c r="M28" s="26"/>
    </row>
    <row r="29" ht="20" customHeight="1" spans="1:13">
      <c r="A29" s="32">
        <v>13</v>
      </c>
      <c r="B29" s="32">
        <v>300589</v>
      </c>
      <c r="C29" s="32" t="s">
        <v>48</v>
      </c>
      <c r="D29" s="14">
        <v>1</v>
      </c>
      <c r="E29" s="13">
        <v>46182</v>
      </c>
      <c r="F29" s="14">
        <v>22.8225</v>
      </c>
      <c r="G29" s="14">
        <v>1200</v>
      </c>
      <c r="H29" s="14">
        <f>F29*G29</f>
        <v>27387</v>
      </c>
      <c r="I29" s="14"/>
      <c r="J29" s="38"/>
      <c r="K29" s="39">
        <v>7.63</v>
      </c>
      <c r="L29" s="17" t="s">
        <v>20</v>
      </c>
      <c r="M29" s="26" t="s">
        <v>49</v>
      </c>
    </row>
    <row r="30" ht="20" customHeight="1" spans="1:13">
      <c r="D30" s="14">
        <v>2</v>
      </c>
      <c r="E30" s="13">
        <v>46233</v>
      </c>
      <c r="F30" s="14">
        <v>12.55</v>
      </c>
      <c r="G30" s="14">
        <v>600</v>
      </c>
      <c r="H30" s="14">
        <f>F30*G30</f>
        <v>7530</v>
      </c>
      <c r="I30" s="14"/>
      <c r="J30" s="54"/>
      <c r="K30" s="55"/>
      <c r="L30" s="17" t="s">
        <v>20</v>
      </c>
      <c r="M30" s="26"/>
    </row>
    <row r="31" ht="20" customHeight="1" spans="1:13">
      <c r="D31" s="14">
        <v>3</v>
      </c>
      <c r="E31" s="13"/>
      <c r="F31" s="14"/>
      <c r="G31" s="14"/>
      <c r="H31" s="14"/>
      <c r="I31" s="14"/>
      <c r="J31" s="52"/>
      <c r="K31" s="53"/>
      <c r="L31" s="17"/>
      <c r="M31" s="26"/>
    </row>
    <row r="32" ht="20" customHeight="1" spans="1:13">
      <c r="A32" s="32">
        <v>14</v>
      </c>
      <c r="B32" s="32">
        <v>300129</v>
      </c>
      <c r="C32" s="32" t="s">
        <v>50</v>
      </c>
      <c r="D32" s="14">
        <v>1</v>
      </c>
      <c r="E32" s="13">
        <v>46182</v>
      </c>
      <c r="F32" s="14">
        <v>14.9016</v>
      </c>
      <c r="G32" s="14">
        <v>2300</v>
      </c>
      <c r="H32" s="14">
        <f>F32*G32</f>
        <v>34273.68</v>
      </c>
      <c r="I32" s="14"/>
      <c r="J32" s="38"/>
      <c r="K32" s="39">
        <v>4.36</v>
      </c>
      <c r="L32" s="17" t="s">
        <v>20</v>
      </c>
      <c r="M32" s="26" t="s">
        <v>51</v>
      </c>
    </row>
    <row r="33" ht="20" customHeight="1" spans="1:13">
      <c r="D33" s="14">
        <v>2</v>
      </c>
      <c r="E33" s="13">
        <v>46223</v>
      </c>
      <c r="F33" s="14">
        <v>7.35</v>
      </c>
      <c r="G33" s="14">
        <v>700</v>
      </c>
      <c r="H33" s="14">
        <f>F33*G33</f>
        <v>5145</v>
      </c>
      <c r="I33" s="14"/>
      <c r="J33" s="54"/>
      <c r="K33" s="55"/>
      <c r="L33" s="17" t="s">
        <v>20</v>
      </c>
      <c r="M33" s="26"/>
    </row>
    <row r="34" ht="20" customHeight="1" spans="1:13">
      <c r="D34" s="40">
        <v>3</v>
      </c>
      <c r="E34" s="41">
        <v>46234</v>
      </c>
      <c r="F34" s="31">
        <v>7.8</v>
      </c>
      <c r="G34" s="31">
        <v>-1000</v>
      </c>
      <c r="H34" s="40">
        <f>F34*G34</f>
        <v>-7800</v>
      </c>
      <c r="I34" s="40"/>
      <c r="J34" s="42"/>
      <c r="K34" s="43"/>
      <c r="L34" s="29" t="s">
        <v>22</v>
      </c>
      <c r="M34" s="58"/>
    </row>
    <row r="35" ht="20" customHeight="1" spans="1:13">
      <c r="A35" s="2">
        <v>15</v>
      </c>
      <c r="B35" s="2">
        <v>600172</v>
      </c>
      <c r="C35" s="2" t="s">
        <v>52</v>
      </c>
      <c r="D35" s="40">
        <v>1</v>
      </c>
      <c r="E35" s="56">
        <v>46188</v>
      </c>
      <c r="F35" s="40">
        <v>12.2123</v>
      </c>
      <c r="G35" s="40">
        <v>-600</v>
      </c>
      <c r="H35" s="40">
        <f>F35*G35</f>
        <v>-7327.38</v>
      </c>
      <c r="I35" s="40"/>
      <c r="J35" s="40"/>
      <c r="K35" s="59">
        <v>3.71</v>
      </c>
      <c r="L35" s="29" t="s">
        <v>22</v>
      </c>
      <c r="M35" s="58" t="s">
        <v>53</v>
      </c>
    </row>
    <row r="36" ht="20" customHeight="1" spans="1:13">
      <c r="A36" s="32">
        <v>16</v>
      </c>
      <c r="B36" s="32">
        <v>600745</v>
      </c>
      <c r="C36" s="32" t="s">
        <v>54</v>
      </c>
      <c r="D36" s="14">
        <v>1</v>
      </c>
      <c r="E36" s="13">
        <v>46189</v>
      </c>
      <c r="F36" s="14">
        <v>18.6687</v>
      </c>
      <c r="G36" s="14">
        <v>800</v>
      </c>
      <c r="H36" s="14">
        <f>F36*G36</f>
        <v>14934.96</v>
      </c>
      <c r="I36" s="14"/>
      <c r="J36" s="38"/>
      <c r="K36" s="39">
        <v>15.2</v>
      </c>
      <c r="L36" s="17" t="s">
        <v>20</v>
      </c>
      <c r="M36" s="26" t="s">
        <v>55</v>
      </c>
    </row>
    <row r="37" ht="20" customHeight="1" spans="1:13">
      <c r="D37" s="40">
        <v>2</v>
      </c>
      <c r="E37" s="41">
        <v>46234</v>
      </c>
      <c r="F37" s="31">
        <v>16.75</v>
      </c>
      <c r="G37" s="31">
        <v>-100</v>
      </c>
      <c r="H37" s="40">
        <f>F37*G37</f>
        <v>-1675</v>
      </c>
      <c r="I37" s="31">
        <v>5.86</v>
      </c>
      <c r="J37" s="60"/>
      <c r="K37" s="43"/>
      <c r="L37" s="44" t="s">
        <v>22</v>
      </c>
      <c r="M37" s="26"/>
    </row>
    <row r="38" ht="20" customHeight="1" spans="1:13">
      <c r="A38" s="32">
        <v>17</v>
      </c>
      <c r="B38" s="32">
        <v>600115</v>
      </c>
      <c r="C38" s="32" t="s">
        <v>56</v>
      </c>
      <c r="D38" s="14">
        <v>1</v>
      </c>
      <c r="E38" s="13">
        <v>46203</v>
      </c>
      <c r="F38" s="14">
        <v>3.7838</v>
      </c>
      <c r="G38" s="14">
        <v>3200</v>
      </c>
      <c r="H38" s="14">
        <f>F38*G38</f>
        <v>12108.16</v>
      </c>
      <c r="I38" s="14"/>
      <c r="J38" s="38"/>
      <c r="K38" s="39">
        <v>3.46</v>
      </c>
      <c r="L38" s="17" t="s">
        <v>20</v>
      </c>
      <c r="M38" s="26"/>
    </row>
    <row r="39" ht="20" customHeight="1" spans="1:13">
      <c r="D39" s="40">
        <v>2</v>
      </c>
      <c r="E39" s="41">
        <v>46234</v>
      </c>
      <c r="F39" s="31">
        <v>3.7</v>
      </c>
      <c r="G39" s="31">
        <v>-2000</v>
      </c>
      <c r="H39" s="40">
        <f>F39*G39</f>
        <v>-7400</v>
      </c>
      <c r="I39" s="31"/>
      <c r="J39" s="60"/>
      <c r="K39" s="43"/>
      <c r="L39" s="44" t="s">
        <v>22</v>
      </c>
      <c r="M39" s="26"/>
    </row>
    <row r="40" ht="20" customHeight="1" spans="1:13">
      <c r="A40" s="32">
        <v>18</v>
      </c>
      <c r="B40" s="32">
        <v>600360</v>
      </c>
      <c r="C40" s="32" t="s">
        <v>57</v>
      </c>
      <c r="D40" s="14">
        <v>1</v>
      </c>
      <c r="E40" s="13">
        <v>46203</v>
      </c>
      <c r="F40" s="14">
        <v>14.6146</v>
      </c>
      <c r="G40" s="14">
        <v>1800</v>
      </c>
      <c r="H40" s="14">
        <f>F40*G40</f>
        <v>26306.28</v>
      </c>
      <c r="I40" s="14"/>
      <c r="J40" s="38"/>
      <c r="K40" s="39">
        <v>6.07</v>
      </c>
      <c r="L40" s="17" t="s">
        <v>20</v>
      </c>
      <c r="M40" s="26"/>
    </row>
    <row r="41" ht="20" customHeight="1" spans="1:13">
      <c r="D41" s="40">
        <v>2</v>
      </c>
      <c r="E41" s="41">
        <v>46213</v>
      </c>
      <c r="F41" s="31">
        <v>17.59</v>
      </c>
      <c r="G41" s="40">
        <v>-1300</v>
      </c>
      <c r="H41" s="40">
        <f>F41*G41</f>
        <v>-22867</v>
      </c>
      <c r="I41" s="40"/>
      <c r="J41" s="50"/>
      <c r="K41" s="51"/>
      <c r="L41" s="44" t="s">
        <v>22</v>
      </c>
      <c r="M41" s="26"/>
    </row>
    <row r="42" ht="20" customHeight="1" spans="1:13">
      <c r="D42" s="14">
        <v>3</v>
      </c>
      <c r="E42" s="13">
        <v>46226</v>
      </c>
      <c r="F42" s="14">
        <v>10</v>
      </c>
      <c r="G42" s="14">
        <v>500</v>
      </c>
      <c r="H42" s="14">
        <f>F42*G42</f>
        <v>5000</v>
      </c>
      <c r="I42" s="14"/>
      <c r="J42" s="54"/>
      <c r="K42" s="55"/>
      <c r="L42" s="17" t="s">
        <v>20</v>
      </c>
      <c r="M42" s="26"/>
    </row>
    <row r="43" ht="20" customHeight="1" spans="1:13">
      <c r="D43" s="40">
        <v>4</v>
      </c>
      <c r="E43" s="41">
        <v>46234</v>
      </c>
      <c r="F43" s="31">
        <v>9.6</v>
      </c>
      <c r="G43" s="31">
        <v>-500</v>
      </c>
      <c r="H43" s="40">
        <f>F43*G43</f>
        <v>-4800</v>
      </c>
      <c r="I43" s="40"/>
      <c r="J43" s="42"/>
      <c r="K43" s="43"/>
      <c r="L43" s="44" t="s">
        <v>22</v>
      </c>
      <c r="M43" s="26"/>
    </row>
    <row r="44" ht="20" customHeight="1" spans="1:13">
      <c r="A44" s="32">
        <v>19</v>
      </c>
      <c r="B44" s="62" t="s">
        <v>58</v>
      </c>
      <c r="C44" s="32" t="s">
        <v>59</v>
      </c>
      <c r="D44" s="14">
        <v>1</v>
      </c>
      <c r="E44" s="13">
        <v>46204</v>
      </c>
      <c r="F44" s="14">
        <v>8.5585</v>
      </c>
      <c r="G44" s="14">
        <v>1700</v>
      </c>
      <c r="H44" s="14">
        <f>F44*G44</f>
        <v>14549.45</v>
      </c>
      <c r="I44" s="14"/>
      <c r="J44" s="38"/>
      <c r="K44" s="39">
        <v>3.42</v>
      </c>
      <c r="L44" s="17" t="s">
        <v>20</v>
      </c>
      <c r="M44" s="26"/>
    </row>
    <row r="45" ht="20" customHeight="1" spans="1:13">
      <c r="D45" s="40">
        <v>2</v>
      </c>
      <c r="E45" s="41">
        <v>46234</v>
      </c>
      <c r="F45" s="31">
        <v>5.65</v>
      </c>
      <c r="G45" s="31">
        <v>-1000</v>
      </c>
      <c r="H45" s="40">
        <f>F45*G45</f>
        <v>-5650</v>
      </c>
      <c r="I45" s="40"/>
      <c r="J45" s="42"/>
      <c r="K45" s="43"/>
      <c r="L45" s="44" t="s">
        <v>22</v>
      </c>
      <c r="M45" s="26"/>
    </row>
    <row r="46" ht="20" customHeight="1" spans="1:13">
      <c r="A46" s="17">
        <v>20</v>
      </c>
      <c r="B46" s="63" t="s">
        <v>60</v>
      </c>
      <c r="C46" s="17" t="s">
        <v>61</v>
      </c>
      <c r="D46" s="14">
        <v>1</v>
      </c>
      <c r="E46" s="13">
        <v>46227</v>
      </c>
      <c r="F46" s="14">
        <v>10.2102</v>
      </c>
      <c r="G46" s="14">
        <v>1000</v>
      </c>
      <c r="H46" s="14">
        <f t="shared" ref="H46:H72" si="0">F46*G46</f>
        <v>10210.2</v>
      </c>
      <c r="I46" s="14"/>
      <c r="J46" s="14"/>
      <c r="K46" s="45">
        <v>10.26</v>
      </c>
      <c r="L46" s="17" t="s">
        <v>20</v>
      </c>
      <c r="M46" s="26"/>
    </row>
    <row r="47" ht="20" customHeight="1" spans="1:13">
      <c r="A47" s="17">
        <v>21</v>
      </c>
      <c r="B47" s="17">
        <v>600556</v>
      </c>
      <c r="C47" s="17" t="s">
        <v>62</v>
      </c>
      <c r="D47" s="14">
        <v>1</v>
      </c>
      <c r="E47" s="13">
        <v>46239</v>
      </c>
      <c r="F47" s="14">
        <v>5.3053</v>
      </c>
      <c r="G47" s="14">
        <v>2000</v>
      </c>
      <c r="H47" s="14">
        <f t="shared" si="0"/>
        <v>10610.6</v>
      </c>
      <c r="I47" s="14"/>
      <c r="J47" s="14"/>
      <c r="K47" s="45">
        <v>3.03</v>
      </c>
      <c r="L47" s="17" t="s">
        <v>20</v>
      </c>
      <c r="M47" s="26"/>
    </row>
    <row r="48" spans="1:13">
      <c r="A48" s="17">
        <v>22</v>
      </c>
      <c r="B48" s="17"/>
      <c r="C48" s="17"/>
      <c r="D48" s="14"/>
      <c r="E48" s="14"/>
      <c r="F48" s="14"/>
      <c r="G48" s="14"/>
      <c r="H48" s="14">
        <f t="shared" si="0"/>
        <v>0</v>
      </c>
      <c r="I48" s="14"/>
      <c r="J48" s="14"/>
      <c r="K48" s="45"/>
      <c r="L48" s="17" t="s">
        <v>20</v>
      </c>
      <c r="M48" s="26"/>
    </row>
    <row r="49" spans="1:13">
      <c r="A49" s="17">
        <v>23</v>
      </c>
      <c r="B49" s="17"/>
      <c r="C49" s="17"/>
      <c r="D49" s="14"/>
      <c r="E49" s="14"/>
      <c r="F49" s="14"/>
      <c r="G49" s="14"/>
      <c r="H49" s="14">
        <f t="shared" si="0"/>
        <v>0</v>
      </c>
      <c r="I49" s="14"/>
      <c r="J49" s="14"/>
      <c r="K49" s="45"/>
      <c r="L49" s="17" t="s">
        <v>20</v>
      </c>
      <c r="M49" s="26"/>
    </row>
    <row r="50" spans="1:13">
      <c r="A50" s="17">
        <v>24</v>
      </c>
      <c r="B50" s="17"/>
      <c r="C50" s="17"/>
      <c r="D50" s="14"/>
      <c r="E50" s="14"/>
      <c r="F50" s="14"/>
      <c r="G50" s="14"/>
      <c r="H50" s="14">
        <f t="shared" si="0"/>
        <v>0</v>
      </c>
      <c r="I50" s="14"/>
      <c r="J50" s="14"/>
      <c r="K50" s="45"/>
      <c r="L50" s="17" t="s">
        <v>20</v>
      </c>
      <c r="M50" s="26"/>
    </row>
    <row r="51" spans="1:13">
      <c r="A51" s="17">
        <v>25</v>
      </c>
      <c r="B51" s="17"/>
      <c r="C51" s="17"/>
      <c r="D51" s="14"/>
      <c r="E51" s="14"/>
      <c r="F51" s="14"/>
      <c r="G51" s="14"/>
      <c r="H51" s="14">
        <f t="shared" si="0"/>
        <v>0</v>
      </c>
      <c r="I51" s="14"/>
      <c r="J51" s="14"/>
      <c r="K51" s="45"/>
      <c r="L51" s="17" t="s">
        <v>20</v>
      </c>
      <c r="M51" s="26"/>
    </row>
    <row r="52" spans="1:13">
      <c r="A52" s="17">
        <v>26</v>
      </c>
      <c r="B52" s="17"/>
      <c r="C52" s="17"/>
      <c r="D52" s="14"/>
      <c r="E52" s="14"/>
      <c r="F52" s="14"/>
      <c r="G52" s="14"/>
      <c r="H52" s="14">
        <f t="shared" si="0"/>
        <v>0</v>
      </c>
      <c r="I52" s="14"/>
      <c r="J52" s="14"/>
      <c r="K52" s="45"/>
      <c r="L52" s="17" t="s">
        <v>20</v>
      </c>
      <c r="M52" s="26"/>
    </row>
    <row r="53" spans="1:13">
      <c r="A53" s="17">
        <v>27</v>
      </c>
      <c r="B53" s="17"/>
      <c r="C53" s="17"/>
      <c r="D53" s="14"/>
      <c r="E53" s="14"/>
      <c r="F53" s="14"/>
      <c r="G53" s="14"/>
      <c r="H53" s="14">
        <f t="shared" si="0"/>
        <v>0</v>
      </c>
      <c r="I53" s="14"/>
      <c r="J53" s="14"/>
      <c r="K53" s="45"/>
      <c r="L53" s="17" t="s">
        <v>20</v>
      </c>
      <c r="M53" s="26"/>
    </row>
    <row r="54" spans="1:13">
      <c r="A54" s="17">
        <v>28</v>
      </c>
      <c r="B54" s="17"/>
      <c r="C54" s="17"/>
      <c r="D54" s="14"/>
      <c r="E54" s="14"/>
      <c r="F54" s="14"/>
      <c r="G54" s="14"/>
      <c r="H54" s="14">
        <f t="shared" si="0"/>
        <v>0</v>
      </c>
      <c r="I54" s="14"/>
      <c r="J54" s="14"/>
      <c r="K54" s="45"/>
      <c r="L54" s="17" t="s">
        <v>20</v>
      </c>
      <c r="M54" s="26"/>
    </row>
    <row r="55" spans="1:13">
      <c r="A55" s="17">
        <v>29</v>
      </c>
      <c r="B55" s="17"/>
      <c r="C55" s="17"/>
      <c r="D55" s="14"/>
      <c r="E55" s="14"/>
      <c r="F55" s="14"/>
      <c r="G55" s="14"/>
      <c r="H55" s="14">
        <f t="shared" si="0"/>
        <v>0</v>
      </c>
      <c r="I55" s="14"/>
      <c r="J55" s="14"/>
      <c r="K55" s="45"/>
      <c r="L55" s="17" t="s">
        <v>20</v>
      </c>
      <c r="M55" s="26"/>
    </row>
    <row r="56" spans="1:13">
      <c r="A56" s="17">
        <v>30</v>
      </c>
      <c r="B56" s="17"/>
      <c r="C56" s="17"/>
      <c r="D56" s="14"/>
      <c r="E56" s="14"/>
      <c r="F56" s="14"/>
      <c r="G56" s="14"/>
      <c r="H56" s="14">
        <f t="shared" si="0"/>
        <v>0</v>
      </c>
      <c r="I56" s="14"/>
      <c r="J56" s="14"/>
      <c r="K56" s="45"/>
      <c r="L56" s="17" t="s">
        <v>20</v>
      </c>
      <c r="M56" s="26"/>
    </row>
    <row r="57" spans="1:13">
      <c r="A57" s="17">
        <v>31</v>
      </c>
      <c r="B57" s="17"/>
      <c r="C57" s="17"/>
      <c r="D57" s="14"/>
      <c r="E57" s="14"/>
      <c r="F57" s="14"/>
      <c r="G57" s="14"/>
      <c r="H57" s="14">
        <f t="shared" si="0"/>
        <v>0</v>
      </c>
      <c r="I57" s="14"/>
      <c r="J57" s="14"/>
      <c r="K57" s="45"/>
      <c r="L57" s="17" t="s">
        <v>20</v>
      </c>
      <c r="M57" s="26"/>
    </row>
    <row r="58" spans="1:13">
      <c r="A58" s="17">
        <v>32</v>
      </c>
      <c r="B58" s="17"/>
      <c r="C58" s="17"/>
      <c r="D58" s="14"/>
      <c r="E58" s="14"/>
      <c r="F58" s="14"/>
      <c r="G58" s="14"/>
      <c r="H58" s="14">
        <f t="shared" si="0"/>
        <v>0</v>
      </c>
      <c r="I58" s="14"/>
      <c r="J58" s="14"/>
      <c r="K58" s="45"/>
      <c r="L58" s="17" t="s">
        <v>20</v>
      </c>
      <c r="M58" s="26"/>
    </row>
    <row r="59" spans="1:13">
      <c r="A59" s="17">
        <v>33</v>
      </c>
      <c r="B59" s="17"/>
      <c r="C59" s="17"/>
      <c r="D59" s="14"/>
      <c r="E59" s="14"/>
      <c r="F59" s="14"/>
      <c r="G59" s="14"/>
      <c r="H59" s="14">
        <f t="shared" si="0"/>
        <v>0</v>
      </c>
      <c r="I59" s="14"/>
      <c r="J59" s="14"/>
      <c r="K59" s="45"/>
      <c r="L59" s="17" t="s">
        <v>20</v>
      </c>
      <c r="M59" s="26"/>
    </row>
    <row r="60" spans="1:13">
      <c r="A60" s="17">
        <v>34</v>
      </c>
      <c r="B60" s="17"/>
      <c r="C60" s="17"/>
      <c r="D60" s="14"/>
      <c r="E60" s="14"/>
      <c r="F60" s="14"/>
      <c r="G60" s="14"/>
      <c r="H60" s="14">
        <f t="shared" si="0"/>
        <v>0</v>
      </c>
      <c r="I60" s="14"/>
      <c r="J60" s="14"/>
      <c r="K60" s="45"/>
      <c r="L60" s="17" t="s">
        <v>20</v>
      </c>
      <c r="M60" s="26"/>
    </row>
    <row r="61" spans="1:13">
      <c r="A61" s="17">
        <v>35</v>
      </c>
      <c r="B61" s="17"/>
      <c r="C61" s="17"/>
      <c r="D61" s="14"/>
      <c r="E61" s="14"/>
      <c r="F61" s="14"/>
      <c r="G61" s="14"/>
      <c r="H61" s="14">
        <f t="shared" si="0"/>
        <v>0</v>
      </c>
      <c r="I61" s="14"/>
      <c r="J61" s="14"/>
      <c r="K61" s="45"/>
      <c r="L61" s="17" t="s">
        <v>20</v>
      </c>
      <c r="M61" s="26"/>
    </row>
    <row r="62" spans="1:13">
      <c r="A62" s="17">
        <v>36</v>
      </c>
      <c r="B62" s="17"/>
      <c r="C62" s="17"/>
      <c r="D62" s="14"/>
      <c r="E62" s="14"/>
      <c r="F62" s="14"/>
      <c r="G62" s="14"/>
      <c r="H62" s="14">
        <f t="shared" si="0"/>
        <v>0</v>
      </c>
      <c r="I62" s="14"/>
      <c r="J62" s="14"/>
      <c r="K62" s="45"/>
      <c r="L62" s="17" t="s">
        <v>20</v>
      </c>
      <c r="M62" s="26"/>
    </row>
    <row r="63" spans="1:13">
      <c r="A63" s="17">
        <v>37</v>
      </c>
      <c r="B63" s="17"/>
      <c r="C63" s="17"/>
      <c r="D63" s="14"/>
      <c r="E63" s="14"/>
      <c r="F63" s="14"/>
      <c r="G63" s="14"/>
      <c r="H63" s="14">
        <f t="shared" si="0"/>
        <v>0</v>
      </c>
      <c r="I63" s="14"/>
      <c r="J63" s="14"/>
      <c r="K63" s="45"/>
      <c r="L63" s="17" t="s">
        <v>20</v>
      </c>
      <c r="M63" s="26"/>
    </row>
    <row r="64" spans="1:13">
      <c r="A64" s="17">
        <v>38</v>
      </c>
      <c r="B64" s="17"/>
      <c r="C64" s="17"/>
      <c r="D64" s="14"/>
      <c r="E64" s="14"/>
      <c r="F64" s="14"/>
      <c r="G64" s="14"/>
      <c r="H64" s="14">
        <f t="shared" si="0"/>
        <v>0</v>
      </c>
      <c r="I64" s="14"/>
      <c r="J64" s="14"/>
      <c r="K64" s="45"/>
      <c r="L64" s="17" t="s">
        <v>20</v>
      </c>
      <c r="M64" s="26"/>
    </row>
    <row r="65" spans="1:13">
      <c r="A65" s="17">
        <v>39</v>
      </c>
      <c r="B65" s="17"/>
      <c r="C65" s="17"/>
      <c r="D65" s="14"/>
      <c r="E65" s="14"/>
      <c r="F65" s="14"/>
      <c r="G65" s="14"/>
      <c r="H65" s="14">
        <f t="shared" si="0"/>
        <v>0</v>
      </c>
      <c r="I65" s="14"/>
      <c r="J65" s="14"/>
      <c r="K65" s="45"/>
      <c r="L65" s="17" t="s">
        <v>20</v>
      </c>
      <c r="M65" s="26"/>
    </row>
    <row r="66" spans="1:13">
      <c r="A66" s="17">
        <v>40</v>
      </c>
      <c r="B66" s="17"/>
      <c r="C66" s="17"/>
      <c r="D66" s="14"/>
      <c r="E66" s="14"/>
      <c r="F66" s="14"/>
      <c r="G66" s="14"/>
      <c r="H66" s="14">
        <f t="shared" si="0"/>
        <v>0</v>
      </c>
      <c r="I66" s="14"/>
      <c r="J66" s="14"/>
      <c r="K66" s="45"/>
      <c r="L66" s="17" t="s">
        <v>20</v>
      </c>
      <c r="M66" s="26"/>
    </row>
    <row r="67" spans="1:13">
      <c r="A67" s="17">
        <v>41</v>
      </c>
      <c r="B67" s="17"/>
      <c r="C67" s="17"/>
      <c r="D67" s="14"/>
      <c r="E67" s="14"/>
      <c r="F67" s="14"/>
      <c r="G67" s="14"/>
      <c r="H67" s="14">
        <f t="shared" si="0"/>
        <v>0</v>
      </c>
      <c r="I67" s="14"/>
      <c r="J67" s="14"/>
      <c r="K67" s="45"/>
      <c r="L67" s="17" t="s">
        <v>20</v>
      </c>
      <c r="M67" s="26"/>
    </row>
    <row r="68" spans="1:13">
      <c r="A68" s="17">
        <v>42</v>
      </c>
      <c r="B68" s="17"/>
      <c r="C68" s="17"/>
      <c r="D68" s="14"/>
      <c r="E68" s="14"/>
      <c r="F68" s="14"/>
      <c r="G68" s="14"/>
      <c r="H68" s="14">
        <f t="shared" si="0"/>
        <v>0</v>
      </c>
      <c r="I68" s="14"/>
      <c r="J68" s="14"/>
      <c r="K68" s="45"/>
      <c r="L68" s="17" t="s">
        <v>20</v>
      </c>
      <c r="M68" s="26"/>
    </row>
    <row r="69" spans="1:13">
      <c r="A69" s="17">
        <v>43</v>
      </c>
      <c r="B69" s="17"/>
      <c r="C69" s="17"/>
      <c r="D69" s="14"/>
      <c r="E69" s="14"/>
      <c r="F69" s="14"/>
      <c r="G69" s="14"/>
      <c r="H69" s="14">
        <f t="shared" si="0"/>
        <v>0</v>
      </c>
      <c r="I69" s="14"/>
      <c r="J69" s="14"/>
      <c r="K69" s="45"/>
      <c r="L69" s="17" t="s">
        <v>20</v>
      </c>
      <c r="M69" s="26"/>
    </row>
    <row r="70" spans="1:13">
      <c r="A70" s="17">
        <v>44</v>
      </c>
      <c r="B70" s="17"/>
      <c r="C70" s="17"/>
      <c r="D70" s="14"/>
      <c r="E70" s="14"/>
      <c r="F70" s="14"/>
      <c r="G70" s="14"/>
      <c r="H70" s="14">
        <f t="shared" si="0"/>
        <v>0</v>
      </c>
      <c r="I70" s="14"/>
      <c r="J70" s="14"/>
      <c r="K70" s="45"/>
      <c r="L70" s="17" t="s">
        <v>20</v>
      </c>
      <c r="M70" s="26"/>
    </row>
    <row r="71" spans="1:13">
      <c r="A71" s="17">
        <v>45</v>
      </c>
      <c r="B71" s="17"/>
      <c r="C71" s="17"/>
      <c r="D71" s="14"/>
      <c r="E71" s="14"/>
      <c r="F71" s="14"/>
      <c r="G71" s="14"/>
      <c r="H71" s="14">
        <f t="shared" si="0"/>
        <v>0</v>
      </c>
      <c r="I71" s="14"/>
      <c r="J71" s="14"/>
      <c r="K71" s="45"/>
      <c r="L71" s="17" t="s">
        <v>20</v>
      </c>
      <c r="M71" s="26"/>
    </row>
    <row r="72" spans="1:13">
      <c r="A72" s="17">
        <v>46</v>
      </c>
      <c r="B72" s="17"/>
      <c r="C72" s="17"/>
      <c r="D72" s="14"/>
      <c r="E72" s="14"/>
      <c r="F72" s="14"/>
      <c r="G72" s="14"/>
      <c r="H72" s="14">
        <f t="shared" si="0"/>
        <v>0</v>
      </c>
      <c r="I72" s="14"/>
      <c r="J72" s="14"/>
      <c r="K72" s="45"/>
      <c r="L72" s="17" t="s">
        <v>20</v>
      </c>
      <c r="M72" s="26"/>
    </row>
    <row r="73" spans="1:13">
      <c r="A73" s="17">
        <v>47</v>
      </c>
      <c r="B73" s="17"/>
      <c r="C73" s="17"/>
      <c r="D73" s="14"/>
      <c r="E73" s="14"/>
      <c r="F73" s="14"/>
      <c r="G73" s="14"/>
      <c r="H73" s="14">
        <f t="shared" ref="H73:H104" si="1">F73*G73</f>
        <v>0</v>
      </c>
      <c r="I73" s="14"/>
      <c r="J73" s="14"/>
      <c r="K73" s="45"/>
      <c r="L73" s="17" t="s">
        <v>20</v>
      </c>
      <c r="M73" s="26"/>
    </row>
    <row r="74" spans="1:13">
      <c r="A74" s="17">
        <v>48</v>
      </c>
      <c r="B74" s="17"/>
      <c r="C74" s="17"/>
      <c r="D74" s="14"/>
      <c r="E74" s="14"/>
      <c r="F74" s="14"/>
      <c r="G74" s="14"/>
      <c r="H74" s="14">
        <f t="shared" si="1"/>
        <v>0</v>
      </c>
      <c r="I74" s="14"/>
      <c r="J74" s="14"/>
      <c r="K74" s="45"/>
      <c r="L74" s="17" t="s">
        <v>20</v>
      </c>
      <c r="M74" s="26"/>
    </row>
    <row r="75" spans="1:13">
      <c r="A75" s="17">
        <v>49</v>
      </c>
      <c r="B75" s="17"/>
      <c r="C75" s="17"/>
      <c r="D75" s="14"/>
      <c r="E75" s="14"/>
      <c r="F75" s="14"/>
      <c r="G75" s="14"/>
      <c r="H75" s="14">
        <f t="shared" si="1"/>
        <v>0</v>
      </c>
      <c r="I75" s="14"/>
      <c r="J75" s="14"/>
      <c r="K75" s="45"/>
      <c r="L75" s="17" t="s">
        <v>20</v>
      </c>
      <c r="M75" s="26"/>
    </row>
    <row r="76" spans="1:13">
      <c r="A76" s="17">
        <v>50</v>
      </c>
      <c r="B76" s="17"/>
      <c r="C76" s="17"/>
      <c r="D76" s="14"/>
      <c r="E76" s="14"/>
      <c r="F76" s="14"/>
      <c r="G76" s="14"/>
      <c r="H76" s="14">
        <f t="shared" si="1"/>
        <v>0</v>
      </c>
      <c r="I76" s="14"/>
      <c r="J76" s="14"/>
      <c r="K76" s="45"/>
      <c r="L76" s="17" t="s">
        <v>20</v>
      </c>
      <c r="M76" s="26"/>
    </row>
    <row r="77" spans="1:13">
      <c r="A77" s="17">
        <v>51</v>
      </c>
      <c r="B77" s="17"/>
      <c r="C77" s="17"/>
      <c r="D77" s="14"/>
      <c r="E77" s="14"/>
      <c r="F77" s="14"/>
      <c r="G77" s="14"/>
      <c r="H77" s="14">
        <f t="shared" si="1"/>
        <v>0</v>
      </c>
      <c r="I77" s="14"/>
      <c r="J77" s="14"/>
      <c r="K77" s="45"/>
      <c r="L77" s="17" t="s">
        <v>20</v>
      </c>
      <c r="M77" s="26"/>
    </row>
    <row r="78" spans="1:13">
      <c r="A78" s="17">
        <v>52</v>
      </c>
      <c r="B78" s="17"/>
      <c r="C78" s="17"/>
      <c r="D78" s="14"/>
      <c r="E78" s="14"/>
      <c r="F78" s="14"/>
      <c r="G78" s="14"/>
      <c r="H78" s="14">
        <f t="shared" si="1"/>
        <v>0</v>
      </c>
      <c r="I78" s="14"/>
      <c r="J78" s="14"/>
      <c r="K78" s="45"/>
      <c r="L78" s="17" t="s">
        <v>20</v>
      </c>
      <c r="M78" s="26"/>
    </row>
    <row r="79" spans="1:13">
      <c r="A79" s="17">
        <v>53</v>
      </c>
      <c r="B79" s="17"/>
      <c r="C79" s="17"/>
      <c r="D79" s="14"/>
      <c r="E79" s="14"/>
      <c r="F79" s="14"/>
      <c r="G79" s="14"/>
      <c r="H79" s="14">
        <f t="shared" si="1"/>
        <v>0</v>
      </c>
      <c r="I79" s="14"/>
      <c r="J79" s="14"/>
      <c r="K79" s="45"/>
      <c r="L79" s="17" t="s">
        <v>20</v>
      </c>
      <c r="M79" s="26"/>
    </row>
    <row r="80" spans="1:13">
      <c r="A80" s="17">
        <v>54</v>
      </c>
      <c r="B80" s="17"/>
      <c r="C80" s="17"/>
      <c r="D80" s="14"/>
      <c r="E80" s="14"/>
      <c r="F80" s="14"/>
      <c r="G80" s="14"/>
      <c r="H80" s="14">
        <f t="shared" si="1"/>
        <v>0</v>
      </c>
      <c r="I80" s="14"/>
      <c r="J80" s="14"/>
      <c r="K80" s="45"/>
      <c r="L80" s="17" t="s">
        <v>20</v>
      </c>
      <c r="M80" s="26"/>
    </row>
    <row r="81" spans="1:13">
      <c r="A81" s="17">
        <v>55</v>
      </c>
      <c r="B81" s="17"/>
      <c r="C81" s="17"/>
      <c r="D81" s="14"/>
      <c r="E81" s="14"/>
      <c r="F81" s="14"/>
      <c r="G81" s="14"/>
      <c r="H81" s="14">
        <f t="shared" si="1"/>
        <v>0</v>
      </c>
      <c r="I81" s="14"/>
      <c r="J81" s="14"/>
      <c r="K81" s="45"/>
      <c r="L81" s="17" t="s">
        <v>20</v>
      </c>
      <c r="M81" s="26"/>
    </row>
    <row r="82" spans="1:13">
      <c r="A82" s="17">
        <v>56</v>
      </c>
      <c r="B82" s="17"/>
      <c r="C82" s="17"/>
      <c r="D82" s="14"/>
      <c r="E82" s="14"/>
      <c r="F82" s="14"/>
      <c r="G82" s="14"/>
      <c r="H82" s="14">
        <f t="shared" si="1"/>
        <v>0</v>
      </c>
      <c r="I82" s="14"/>
      <c r="J82" s="14"/>
      <c r="K82" s="45"/>
      <c r="L82" s="17" t="s">
        <v>20</v>
      </c>
      <c r="M82" s="26"/>
    </row>
    <row r="83" spans="1:13">
      <c r="A83" s="17">
        <v>57</v>
      </c>
      <c r="B83" s="17"/>
      <c r="C83" s="17"/>
      <c r="D83" s="14"/>
      <c r="E83" s="14"/>
      <c r="F83" s="14"/>
      <c r="G83" s="14"/>
      <c r="H83" s="14">
        <f t="shared" si="1"/>
        <v>0</v>
      </c>
      <c r="I83" s="14"/>
      <c r="J83" s="14"/>
      <c r="K83" s="45"/>
      <c r="L83" s="17" t="s">
        <v>20</v>
      </c>
      <c r="M83" s="26"/>
    </row>
    <row r="84" spans="1:13">
      <c r="A84" s="17">
        <v>58</v>
      </c>
      <c r="B84" s="17"/>
      <c r="C84" s="17"/>
      <c r="D84" s="14"/>
      <c r="E84" s="14"/>
      <c r="F84" s="14"/>
      <c r="G84" s="14"/>
      <c r="H84" s="14">
        <f t="shared" si="1"/>
        <v>0</v>
      </c>
      <c r="I84" s="14"/>
      <c r="J84" s="14"/>
      <c r="K84" s="45"/>
      <c r="L84" s="17" t="s">
        <v>20</v>
      </c>
      <c r="M84" s="26"/>
    </row>
    <row r="85" spans="1:13">
      <c r="A85" s="17">
        <v>59</v>
      </c>
      <c r="B85" s="17"/>
      <c r="C85" s="17"/>
      <c r="D85" s="14"/>
      <c r="E85" s="14"/>
      <c r="F85" s="14"/>
      <c r="G85" s="14"/>
      <c r="H85" s="14">
        <f t="shared" si="1"/>
        <v>0</v>
      </c>
      <c r="I85" s="14"/>
      <c r="J85" s="14"/>
      <c r="K85" s="45"/>
      <c r="L85" s="17" t="s">
        <v>20</v>
      </c>
      <c r="M85" s="26"/>
    </row>
    <row r="86" spans="1:13">
      <c r="A86" s="17">
        <v>60</v>
      </c>
      <c r="B86" s="17"/>
      <c r="C86" s="17"/>
      <c r="D86" s="14"/>
      <c r="E86" s="14"/>
      <c r="F86" s="14"/>
      <c r="G86" s="14"/>
      <c r="H86" s="14">
        <f t="shared" si="1"/>
        <v>0</v>
      </c>
      <c r="I86" s="14"/>
      <c r="J86" s="14"/>
      <c r="K86" s="45"/>
      <c r="L86" s="17" t="s">
        <v>20</v>
      </c>
      <c r="M86" s="26"/>
    </row>
    <row r="87" spans="1:13">
      <c r="A87" s="17">
        <v>61</v>
      </c>
      <c r="B87" s="17"/>
      <c r="C87" s="17"/>
      <c r="D87" s="14"/>
      <c r="E87" s="14"/>
      <c r="F87" s="14"/>
      <c r="G87" s="14"/>
      <c r="H87" s="14">
        <f t="shared" si="1"/>
        <v>0</v>
      </c>
      <c r="I87" s="14"/>
      <c r="J87" s="14"/>
      <c r="K87" s="45"/>
      <c r="L87" s="17" t="s">
        <v>20</v>
      </c>
      <c r="M87" s="26"/>
    </row>
    <row r="88" spans="1:13">
      <c r="A88" s="17">
        <v>62</v>
      </c>
      <c r="B88" s="17"/>
      <c r="C88" s="17"/>
      <c r="D88" s="14"/>
      <c r="E88" s="14"/>
      <c r="F88" s="14"/>
      <c r="G88" s="14"/>
      <c r="H88" s="14">
        <f t="shared" si="1"/>
        <v>0</v>
      </c>
      <c r="I88" s="14"/>
      <c r="J88" s="14"/>
      <c r="K88" s="45"/>
      <c r="L88" s="17" t="s">
        <v>20</v>
      </c>
      <c r="M88" s="26"/>
    </row>
    <row r="89" spans="1:13">
      <c r="A89" s="17">
        <v>63</v>
      </c>
      <c r="B89" s="17"/>
      <c r="C89" s="17"/>
      <c r="D89" s="14"/>
      <c r="E89" s="14"/>
      <c r="F89" s="14"/>
      <c r="G89" s="14"/>
      <c r="H89" s="14">
        <f t="shared" si="1"/>
        <v>0</v>
      </c>
      <c r="I89" s="14"/>
      <c r="J89" s="14"/>
      <c r="K89" s="45"/>
      <c r="L89" s="17" t="s">
        <v>20</v>
      </c>
      <c r="M89" s="26"/>
    </row>
    <row r="90" spans="1:13">
      <c r="A90" s="17">
        <v>64</v>
      </c>
      <c r="B90" s="17"/>
      <c r="C90" s="17"/>
      <c r="D90" s="14"/>
      <c r="E90" s="14"/>
      <c r="F90" s="14"/>
      <c r="G90" s="14"/>
      <c r="H90" s="14">
        <f t="shared" si="1"/>
        <v>0</v>
      </c>
      <c r="I90" s="14"/>
      <c r="J90" s="14"/>
      <c r="K90" s="45"/>
      <c r="L90" s="17" t="s">
        <v>20</v>
      </c>
      <c r="M90" s="26"/>
    </row>
    <row r="91" spans="1:13">
      <c r="A91" s="17">
        <v>65</v>
      </c>
      <c r="B91" s="17"/>
      <c r="C91" s="17"/>
      <c r="D91" s="14"/>
      <c r="E91" s="14"/>
      <c r="F91" s="14"/>
      <c r="G91" s="14"/>
      <c r="H91" s="14">
        <f t="shared" si="1"/>
        <v>0</v>
      </c>
      <c r="I91" s="14"/>
      <c r="J91" s="14"/>
      <c r="K91" s="45"/>
      <c r="L91" s="17" t="s">
        <v>20</v>
      </c>
      <c r="M91" s="26"/>
    </row>
    <row r="92" spans="1:13">
      <c r="A92" s="17">
        <v>66</v>
      </c>
      <c r="B92" s="17"/>
      <c r="C92" s="17"/>
      <c r="D92" s="14"/>
      <c r="E92" s="14"/>
      <c r="F92" s="14"/>
      <c r="G92" s="14"/>
      <c r="H92" s="14">
        <f t="shared" si="1"/>
        <v>0</v>
      </c>
      <c r="I92" s="14"/>
      <c r="J92" s="14"/>
      <c r="K92" s="45"/>
      <c r="L92" s="17" t="s">
        <v>20</v>
      </c>
      <c r="M92" s="26"/>
    </row>
    <row r="93" spans="1:13">
      <c r="A93" s="17">
        <v>67</v>
      </c>
      <c r="B93" s="17"/>
      <c r="C93" s="17"/>
      <c r="D93" s="14"/>
      <c r="E93" s="14"/>
      <c r="F93" s="14"/>
      <c r="G93" s="14"/>
      <c r="H93" s="14">
        <f t="shared" si="1"/>
        <v>0</v>
      </c>
      <c r="I93" s="14"/>
      <c r="J93" s="14"/>
      <c r="K93" s="45"/>
      <c r="L93" s="17" t="s">
        <v>20</v>
      </c>
      <c r="M93" s="26"/>
    </row>
    <row r="94" spans="1:13">
      <c r="A94" s="17">
        <v>68</v>
      </c>
      <c r="B94" s="17"/>
      <c r="C94" s="17"/>
      <c r="D94" s="14"/>
      <c r="E94" s="14"/>
      <c r="F94" s="14"/>
      <c r="G94" s="14"/>
      <c r="H94" s="14">
        <f t="shared" si="1"/>
        <v>0</v>
      </c>
      <c r="I94" s="14"/>
      <c r="J94" s="14"/>
      <c r="K94" s="45"/>
      <c r="L94" s="17" t="s">
        <v>20</v>
      </c>
      <c r="M94" s="26"/>
    </row>
    <row r="95" spans="1:13">
      <c r="A95" s="17">
        <v>69</v>
      </c>
      <c r="B95" s="17"/>
      <c r="C95" s="17"/>
      <c r="D95" s="14"/>
      <c r="E95" s="14"/>
      <c r="F95" s="14"/>
      <c r="G95" s="14"/>
      <c r="H95" s="14">
        <f t="shared" si="1"/>
        <v>0</v>
      </c>
      <c r="I95" s="14"/>
      <c r="J95" s="14"/>
      <c r="K95" s="45"/>
      <c r="L95" s="17" t="s">
        <v>20</v>
      </c>
      <c r="M95" s="26"/>
    </row>
    <row r="96" spans="1:13">
      <c r="A96" s="17">
        <v>70</v>
      </c>
      <c r="B96" s="17"/>
      <c r="C96" s="17"/>
      <c r="D96" s="14"/>
      <c r="E96" s="14"/>
      <c r="F96" s="14"/>
      <c r="G96" s="14"/>
      <c r="H96" s="14">
        <f t="shared" si="1"/>
        <v>0</v>
      </c>
      <c r="I96" s="14"/>
      <c r="J96" s="14"/>
      <c r="K96" s="45"/>
      <c r="L96" s="17" t="s">
        <v>20</v>
      </c>
      <c r="M96" s="26"/>
    </row>
    <row r="97" spans="1:13">
      <c r="A97" s="17">
        <v>71</v>
      </c>
      <c r="B97" s="17"/>
      <c r="C97" s="17"/>
      <c r="D97" s="14"/>
      <c r="E97" s="14"/>
      <c r="F97" s="14"/>
      <c r="G97" s="14"/>
      <c r="H97" s="14">
        <f t="shared" si="1"/>
        <v>0</v>
      </c>
      <c r="I97" s="14"/>
      <c r="J97" s="14"/>
      <c r="K97" s="45"/>
      <c r="L97" s="17" t="s">
        <v>20</v>
      </c>
      <c r="M97" s="26"/>
    </row>
    <row r="98" spans="1:13">
      <c r="A98" s="17">
        <v>72</v>
      </c>
      <c r="B98" s="17"/>
      <c r="C98" s="17"/>
      <c r="D98" s="14"/>
      <c r="E98" s="14"/>
      <c r="F98" s="14"/>
      <c r="G98" s="14"/>
      <c r="H98" s="14">
        <f t="shared" si="1"/>
        <v>0</v>
      </c>
      <c r="I98" s="14"/>
      <c r="J98" s="14"/>
      <c r="K98" s="45"/>
      <c r="L98" s="17" t="s">
        <v>20</v>
      </c>
      <c r="M98" s="26"/>
    </row>
    <row r="99" spans="1:13">
      <c r="A99" s="17">
        <v>73</v>
      </c>
      <c r="B99" s="17"/>
      <c r="C99" s="17"/>
      <c r="D99" s="14"/>
      <c r="E99" s="14"/>
      <c r="F99" s="14"/>
      <c r="G99" s="14"/>
      <c r="H99" s="14">
        <f t="shared" si="1"/>
        <v>0</v>
      </c>
      <c r="I99" s="14"/>
      <c r="J99" s="14"/>
      <c r="K99" s="45"/>
      <c r="L99" s="17" t="s">
        <v>20</v>
      </c>
      <c r="M99" s="26"/>
    </row>
    <row r="100" spans="1:13">
      <c r="A100" s="17">
        <v>74</v>
      </c>
      <c r="B100" s="17"/>
      <c r="C100" s="17"/>
      <c r="D100" s="14"/>
      <c r="E100" s="14"/>
      <c r="F100" s="14"/>
      <c r="G100" s="14"/>
      <c r="H100" s="14">
        <f t="shared" si="1"/>
        <v>0</v>
      </c>
      <c r="I100" s="14"/>
      <c r="J100" s="14"/>
      <c r="K100" s="45"/>
      <c r="L100" s="17" t="s">
        <v>20</v>
      </c>
      <c r="M100" s="26"/>
    </row>
    <row r="101" spans="1:13">
      <c r="A101" s="17">
        <v>75</v>
      </c>
      <c r="B101" s="17"/>
      <c r="C101" s="17"/>
      <c r="D101" s="14"/>
      <c r="E101" s="14"/>
      <c r="F101" s="14"/>
      <c r="G101" s="14"/>
      <c r="H101" s="14">
        <f t="shared" si="1"/>
        <v>0</v>
      </c>
      <c r="I101" s="14"/>
      <c r="J101" s="14"/>
      <c r="K101" s="45"/>
      <c r="L101" s="17" t="s">
        <v>20</v>
      </c>
      <c r="M101" s="26"/>
    </row>
    <row r="102" spans="1:13">
      <c r="A102" s="17">
        <v>76</v>
      </c>
      <c r="B102" s="17"/>
      <c r="C102" s="17"/>
      <c r="D102" s="14"/>
      <c r="E102" s="14"/>
      <c r="F102" s="14"/>
      <c r="G102" s="14"/>
      <c r="H102" s="14">
        <f t="shared" si="1"/>
        <v>0</v>
      </c>
      <c r="I102" s="14"/>
      <c r="J102" s="14"/>
      <c r="K102" s="45"/>
      <c r="L102" s="17" t="s">
        <v>20</v>
      </c>
      <c r="M102" s="26"/>
    </row>
    <row r="103" spans="1:13">
      <c r="A103" s="17">
        <v>77</v>
      </c>
      <c r="B103" s="17"/>
      <c r="C103" s="17"/>
      <c r="D103" s="14"/>
      <c r="E103" s="14"/>
      <c r="F103" s="14"/>
      <c r="G103" s="14"/>
      <c r="H103" s="14">
        <f t="shared" si="1"/>
        <v>0</v>
      </c>
      <c r="I103" s="14"/>
      <c r="J103" s="14"/>
      <c r="K103" s="45"/>
      <c r="L103" s="17" t="s">
        <v>20</v>
      </c>
      <c r="M103" s="26"/>
    </row>
    <row r="104" spans="1:13">
      <c r="A104" s="17">
        <v>78</v>
      </c>
      <c r="B104" s="17"/>
      <c r="C104" s="17"/>
      <c r="D104" s="14"/>
      <c r="E104" s="14"/>
      <c r="F104" s="14"/>
      <c r="G104" s="14"/>
      <c r="H104" s="14">
        <f t="shared" si="1"/>
        <v>0</v>
      </c>
      <c r="I104" s="14"/>
      <c r="J104" s="14"/>
      <c r="K104" s="45"/>
      <c r="L104" s="17" t="s">
        <v>20</v>
      </c>
      <c r="M104" s="26"/>
    </row>
    <row r="105" spans="1:13">
      <c r="A105" s="17">
        <v>79</v>
      </c>
      <c r="B105" s="17"/>
      <c r="C105" s="17"/>
      <c r="D105" s="14"/>
      <c r="E105" s="14"/>
      <c r="F105" s="14"/>
      <c r="G105" s="14"/>
      <c r="H105" s="14">
        <f t="shared" ref="H105:H125" si="2">F105*G105</f>
        <v>0</v>
      </c>
      <c r="I105" s="14"/>
      <c r="J105" s="14"/>
      <c r="K105" s="45"/>
      <c r="L105" s="17" t="s">
        <v>20</v>
      </c>
      <c r="M105" s="26"/>
    </row>
    <row r="106" spans="1:13">
      <c r="A106" s="17">
        <v>80</v>
      </c>
      <c r="B106" s="17"/>
      <c r="C106" s="17"/>
      <c r="D106" s="14"/>
      <c r="E106" s="14"/>
      <c r="F106" s="14"/>
      <c r="G106" s="14"/>
      <c r="H106" s="14">
        <f t="shared" si="2"/>
        <v>0</v>
      </c>
      <c r="I106" s="14"/>
      <c r="J106" s="14"/>
      <c r="K106" s="45"/>
      <c r="L106" s="17" t="s">
        <v>20</v>
      </c>
      <c r="M106" s="26"/>
    </row>
    <row r="107" spans="1:13">
      <c r="A107" s="17">
        <v>81</v>
      </c>
      <c r="B107" s="17"/>
      <c r="C107" s="17"/>
      <c r="D107" s="14"/>
      <c r="E107" s="14"/>
      <c r="F107" s="14"/>
      <c r="G107" s="14"/>
      <c r="H107" s="14">
        <f t="shared" si="2"/>
        <v>0</v>
      </c>
      <c r="I107" s="14"/>
      <c r="J107" s="14"/>
      <c r="K107" s="45"/>
      <c r="L107" s="17" t="s">
        <v>20</v>
      </c>
      <c r="M107" s="26"/>
    </row>
    <row r="108" spans="1:13">
      <c r="A108" s="17">
        <v>82</v>
      </c>
      <c r="B108" s="17"/>
      <c r="C108" s="17"/>
      <c r="D108" s="14"/>
      <c r="E108" s="14"/>
      <c r="F108" s="14"/>
      <c r="G108" s="14"/>
      <c r="H108" s="14">
        <f t="shared" si="2"/>
        <v>0</v>
      </c>
      <c r="I108" s="14"/>
      <c r="J108" s="14"/>
      <c r="K108" s="45"/>
      <c r="L108" s="17" t="s">
        <v>20</v>
      </c>
      <c r="M108" s="26"/>
    </row>
    <row r="109" spans="1:13">
      <c r="A109" s="17">
        <v>83</v>
      </c>
      <c r="B109" s="17"/>
      <c r="C109" s="17"/>
      <c r="D109" s="14"/>
      <c r="E109" s="14"/>
      <c r="F109" s="14"/>
      <c r="G109" s="14"/>
      <c r="H109" s="14">
        <f t="shared" si="2"/>
        <v>0</v>
      </c>
      <c r="I109" s="14"/>
      <c r="J109" s="14"/>
      <c r="K109" s="45"/>
      <c r="L109" s="17" t="s">
        <v>20</v>
      </c>
      <c r="M109" s="26"/>
    </row>
    <row r="110" spans="1:13">
      <c r="A110" s="17">
        <v>84</v>
      </c>
      <c r="B110" s="17"/>
      <c r="C110" s="17"/>
      <c r="D110" s="14"/>
      <c r="E110" s="14"/>
      <c r="F110" s="14"/>
      <c r="G110" s="14"/>
      <c r="H110" s="14">
        <f t="shared" si="2"/>
        <v>0</v>
      </c>
      <c r="I110" s="14"/>
      <c r="J110" s="14"/>
      <c r="K110" s="45"/>
      <c r="L110" s="17" t="s">
        <v>20</v>
      </c>
      <c r="M110" s="26"/>
    </row>
    <row r="111" spans="1:13">
      <c r="A111" s="17">
        <v>85</v>
      </c>
      <c r="B111" s="17"/>
      <c r="C111" s="17"/>
      <c r="D111" s="14"/>
      <c r="E111" s="14"/>
      <c r="F111" s="14"/>
      <c r="G111" s="14"/>
      <c r="H111" s="14">
        <f t="shared" si="2"/>
        <v>0</v>
      </c>
      <c r="I111" s="14"/>
      <c r="J111" s="14"/>
      <c r="K111" s="45"/>
      <c r="L111" s="17" t="s">
        <v>20</v>
      </c>
      <c r="M111" s="26"/>
    </row>
    <row r="112" spans="1:13">
      <c r="A112" s="17">
        <v>86</v>
      </c>
      <c r="B112" s="17"/>
      <c r="C112" s="17"/>
      <c r="D112" s="14"/>
      <c r="E112" s="14"/>
      <c r="F112" s="14"/>
      <c r="G112" s="14"/>
      <c r="H112" s="14">
        <f t="shared" si="2"/>
        <v>0</v>
      </c>
      <c r="I112" s="14"/>
      <c r="J112" s="14"/>
      <c r="K112" s="45"/>
      <c r="L112" s="17" t="s">
        <v>20</v>
      </c>
      <c r="M112" s="26"/>
    </row>
    <row r="113" spans="1:13">
      <c r="A113" s="17">
        <v>87</v>
      </c>
      <c r="B113" s="17"/>
      <c r="C113" s="17"/>
      <c r="D113" s="14"/>
      <c r="E113" s="14"/>
      <c r="F113" s="14"/>
      <c r="G113" s="14"/>
      <c r="H113" s="14">
        <f t="shared" si="2"/>
        <v>0</v>
      </c>
      <c r="I113" s="14"/>
      <c r="J113" s="14"/>
      <c r="K113" s="45"/>
      <c r="L113" s="17" t="s">
        <v>20</v>
      </c>
      <c r="M113" s="26"/>
    </row>
    <row r="114" spans="1:13">
      <c r="A114" s="17">
        <v>88</v>
      </c>
      <c r="B114" s="17"/>
      <c r="C114" s="17"/>
      <c r="D114" s="14"/>
      <c r="E114" s="14"/>
      <c r="F114" s="14"/>
      <c r="G114" s="14"/>
      <c r="H114" s="14">
        <f t="shared" si="2"/>
        <v>0</v>
      </c>
      <c r="I114" s="14"/>
      <c r="J114" s="14"/>
      <c r="K114" s="45"/>
      <c r="L114" s="17" t="s">
        <v>20</v>
      </c>
      <c r="M114" s="26"/>
    </row>
    <row r="115" spans="1:13">
      <c r="A115" s="17">
        <v>89</v>
      </c>
      <c r="B115" s="17"/>
      <c r="C115" s="17"/>
      <c r="D115" s="14"/>
      <c r="E115" s="14"/>
      <c r="F115" s="14"/>
      <c r="G115" s="14"/>
      <c r="H115" s="14">
        <f t="shared" si="2"/>
        <v>0</v>
      </c>
      <c r="I115" s="14"/>
      <c r="J115" s="14"/>
      <c r="K115" s="45"/>
      <c r="L115" s="17" t="s">
        <v>20</v>
      </c>
      <c r="M115" s="26"/>
    </row>
    <row r="116" spans="1:13">
      <c r="A116" s="17">
        <v>90</v>
      </c>
      <c r="B116" s="17"/>
      <c r="C116" s="17"/>
      <c r="D116" s="14"/>
      <c r="E116" s="14"/>
      <c r="F116" s="14"/>
      <c r="G116" s="14"/>
      <c r="H116" s="14">
        <f t="shared" si="2"/>
        <v>0</v>
      </c>
      <c r="I116" s="14"/>
      <c r="J116" s="14"/>
      <c r="K116" s="45"/>
      <c r="L116" s="17" t="s">
        <v>20</v>
      </c>
      <c r="M116" s="26"/>
    </row>
    <row r="117" spans="1:13">
      <c r="A117" s="17">
        <v>91</v>
      </c>
      <c r="B117" s="17"/>
      <c r="C117" s="17"/>
      <c r="D117" s="14"/>
      <c r="E117" s="14"/>
      <c r="F117" s="14"/>
      <c r="G117" s="14"/>
      <c r="H117" s="14">
        <f t="shared" si="2"/>
        <v>0</v>
      </c>
      <c r="I117" s="14"/>
      <c r="J117" s="14"/>
      <c r="K117" s="45"/>
      <c r="L117" s="17" t="s">
        <v>20</v>
      </c>
      <c r="M117" s="26"/>
    </row>
    <row r="118" spans="1:13">
      <c r="A118" s="17">
        <v>92</v>
      </c>
      <c r="B118" s="17"/>
      <c r="C118" s="17"/>
      <c r="D118" s="14"/>
      <c r="E118" s="14"/>
      <c r="F118" s="14"/>
      <c r="G118" s="14"/>
      <c r="H118" s="14">
        <f t="shared" si="2"/>
        <v>0</v>
      </c>
      <c r="I118" s="14"/>
      <c r="J118" s="14"/>
      <c r="K118" s="45"/>
      <c r="L118" s="17" t="s">
        <v>20</v>
      </c>
      <c r="M118" s="26"/>
    </row>
    <row r="119" spans="1:13">
      <c r="A119" s="17">
        <v>93</v>
      </c>
      <c r="B119" s="17"/>
      <c r="C119" s="17"/>
      <c r="D119" s="14"/>
      <c r="E119" s="14"/>
      <c r="F119" s="14"/>
      <c r="G119" s="14"/>
      <c r="H119" s="14">
        <f t="shared" si="2"/>
        <v>0</v>
      </c>
      <c r="I119" s="14"/>
      <c r="J119" s="14"/>
      <c r="K119" s="45"/>
      <c r="L119" s="17" t="s">
        <v>20</v>
      </c>
      <c r="M119" s="26"/>
    </row>
    <row r="120" spans="1:13">
      <c r="A120" s="17">
        <v>94</v>
      </c>
      <c r="B120" s="17"/>
      <c r="C120" s="17"/>
      <c r="D120" s="14"/>
      <c r="E120" s="14"/>
      <c r="F120" s="14"/>
      <c r="G120" s="14"/>
      <c r="H120" s="14">
        <f t="shared" si="2"/>
        <v>0</v>
      </c>
      <c r="I120" s="14"/>
      <c r="J120" s="14"/>
      <c r="K120" s="45"/>
      <c r="L120" s="17" t="s">
        <v>20</v>
      </c>
      <c r="M120" s="26"/>
    </row>
    <row r="121" spans="1:13">
      <c r="A121" s="17">
        <v>95</v>
      </c>
      <c r="B121" s="17"/>
      <c r="C121" s="17"/>
      <c r="D121" s="14"/>
      <c r="E121" s="14"/>
      <c r="F121" s="14"/>
      <c r="G121" s="14"/>
      <c r="H121" s="14">
        <f t="shared" si="2"/>
        <v>0</v>
      </c>
      <c r="I121" s="14"/>
      <c r="J121" s="14"/>
      <c r="K121" s="45"/>
      <c r="L121" s="17" t="s">
        <v>20</v>
      </c>
      <c r="M121" s="26"/>
    </row>
    <row r="122" spans="1:13">
      <c r="A122" s="17">
        <v>96</v>
      </c>
      <c r="B122" s="17"/>
      <c r="C122" s="17"/>
      <c r="D122" s="14"/>
      <c r="E122" s="14"/>
      <c r="F122" s="14"/>
      <c r="G122" s="14"/>
      <c r="H122" s="14">
        <f t="shared" si="2"/>
        <v>0</v>
      </c>
      <c r="I122" s="14"/>
      <c r="J122" s="14"/>
      <c r="K122" s="45"/>
      <c r="L122" s="17" t="s">
        <v>20</v>
      </c>
      <c r="M122" s="26"/>
    </row>
    <row r="123" spans="1:13">
      <c r="A123" s="17">
        <v>97</v>
      </c>
      <c r="B123" s="17"/>
      <c r="C123" s="17"/>
      <c r="D123" s="14"/>
      <c r="E123" s="14"/>
      <c r="F123" s="14"/>
      <c r="G123" s="14"/>
      <c r="H123" s="14">
        <f t="shared" si="2"/>
        <v>0</v>
      </c>
      <c r="I123" s="14"/>
      <c r="J123" s="14"/>
      <c r="K123" s="45"/>
      <c r="L123" s="17" t="s">
        <v>20</v>
      </c>
      <c r="M123" s="26"/>
    </row>
    <row r="124" spans="1:13">
      <c r="A124" s="17">
        <v>98</v>
      </c>
      <c r="B124" s="17"/>
      <c r="C124" s="17"/>
      <c r="D124" s="14"/>
      <c r="E124" s="14"/>
      <c r="F124" s="14"/>
      <c r="G124" s="14"/>
      <c r="H124" s="14">
        <f t="shared" si="2"/>
        <v>0</v>
      </c>
      <c r="I124" s="14"/>
      <c r="J124" s="14"/>
      <c r="K124" s="45"/>
      <c r="L124" s="17" t="s">
        <v>20</v>
      </c>
      <c r="M124" s="26"/>
    </row>
    <row r="125" spans="1:13">
      <c r="A125" s="17">
        <v>99</v>
      </c>
      <c r="B125" s="17"/>
      <c r="C125" s="17"/>
      <c r="D125" s="14"/>
      <c r="E125" s="14"/>
      <c r="F125" s="14"/>
      <c r="G125" s="14"/>
      <c r="H125" s="14">
        <f t="shared" si="2"/>
        <v>0</v>
      </c>
      <c r="I125" s="14"/>
      <c r="J125" s="14"/>
      <c r="K125" s="45"/>
      <c r="L125" s="17" t="s">
        <v>20</v>
      </c>
      <c r="M125" s="26"/>
    </row>
  </sheetData>
  <autoFilter xmlns:etc="http://www.wps.cn/officeDocument/2017/etCustomData" ref="B1:L125" etc:filterBottomFollowUsedRange="0">
    <extLst/>
  </autoFilter>
  <mergeCells count="62">
    <mergeCell ref="A2:A3"/>
    <mergeCell ref="A7:A8"/>
    <mergeCell ref="A9:A10"/>
    <mergeCell ref="A11:A13"/>
    <mergeCell ref="A14:A16"/>
    <mergeCell ref="A17:A19"/>
    <mergeCell ref="A20:A21"/>
    <mergeCell ref="A22:A25"/>
    <mergeCell ref="A26:A28"/>
    <mergeCell ref="A29:A31"/>
    <mergeCell ref="A32:A34"/>
    <mergeCell ref="A36:A37"/>
    <mergeCell ref="A38:A39"/>
    <mergeCell ref="A40:A43"/>
    <mergeCell ref="A44:A45"/>
    <mergeCell ref="B2:B3"/>
    <mergeCell ref="B7:B8"/>
    <mergeCell ref="B9:B10"/>
    <mergeCell ref="B11:B13"/>
    <mergeCell ref="B14:B16"/>
    <mergeCell ref="B17:B19"/>
    <mergeCell ref="B20:B21"/>
    <mergeCell ref="B22:B25"/>
    <mergeCell ref="B26:B28"/>
    <mergeCell ref="B29:B31"/>
    <mergeCell ref="B32:B34"/>
    <mergeCell ref="B36:B37"/>
    <mergeCell ref="B38:B39"/>
    <mergeCell ref="B40:B43"/>
    <mergeCell ref="B44:B45"/>
    <mergeCell ref="C2:C3"/>
    <mergeCell ref="C7:C8"/>
    <mergeCell ref="C9:C10"/>
    <mergeCell ref="C11:C13"/>
    <mergeCell ref="C14:C16"/>
    <mergeCell ref="C17:C19"/>
    <mergeCell ref="C20:C21"/>
    <mergeCell ref="C22:C25"/>
    <mergeCell ref="C26:C28"/>
    <mergeCell ref="C29:C31"/>
    <mergeCell ref="C32:C34"/>
    <mergeCell ref="C36:C37"/>
    <mergeCell ref="C38:C39"/>
    <mergeCell ref="C40:C43"/>
    <mergeCell ref="C44:C45"/>
    <mergeCell ref="K2:K3"/>
    <mergeCell ref="K7:K8"/>
    <mergeCell ref="K9:K10"/>
    <mergeCell ref="K11:K13"/>
    <mergeCell ref="K14:K16"/>
    <mergeCell ref="K17:K19"/>
    <mergeCell ref="K20:K21"/>
    <mergeCell ref="K22:K25"/>
    <mergeCell ref="K26:K28"/>
    <mergeCell ref="K29:K31"/>
    <mergeCell ref="K32:K34"/>
    <mergeCell ref="K36:K37"/>
    <mergeCell ref="K38:K39"/>
    <mergeCell ref="K40:K43"/>
    <mergeCell ref="K44:K45"/>
    <mergeCell ref="M17:M18"/>
    <mergeCell ref="M22:M24"/>
  </mergeCells>
  <dataValidations count="1">
    <dataValidation type="list" allowBlank="1" showInputMessage="1" showErrorMessage="1" sqref="L3 L8 L9 L10 L11 L12 L13 L16 L20 L21 L25 L26 L27 L28 L31 L34 L37 L38 L39 L43 L44 L45 L1:L2 L4:L7 L14:L15 L17:L19 L22:L24 L29:L30 L32:L33 L35:L36 L40:L42 L46:L1048576">
      <formula1>$L$2:$L$36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workbookViewId="0">
      <selection activeCell="F34" sqref="F34"/>
    </sheetView>
  </sheetViews>
  <sheetFormatPr defaultColWidth="9" defaultRowHeight="14.4"/>
  <cols>
    <col min="1" max="1" width="9" style="15"/>
    <col min="2" max="2" width="9.37037037037037" style="15"/>
    <col min="3" max="3" width="9" style="23"/>
    <col min="4" max="4" width="9" style="15"/>
    <col min="5" max="5" width="12.8703703703704" customWidth="1"/>
    <col min="6" max="8" width="12.8703703703704" style="15" customWidth="1"/>
    <col min="9" max="9" width="9" style="23"/>
    <col min="10" max="10" width="68.6296296296296" style="24" customWidth="1"/>
  </cols>
  <sheetData>
    <row r="1" s="23" customFormat="1" ht="28.8" spans="1:11">
      <c r="A1" s="17" t="s">
        <v>7</v>
      </c>
      <c r="B1" s="17" t="s">
        <v>8</v>
      </c>
      <c r="C1" s="17" t="s">
        <v>9</v>
      </c>
      <c r="D1" s="17" t="s">
        <v>8</v>
      </c>
      <c r="E1" s="25" t="s">
        <v>10</v>
      </c>
      <c r="F1" s="25" t="s">
        <v>11</v>
      </c>
      <c r="G1" s="25" t="s">
        <v>12</v>
      </c>
      <c r="H1" s="25" t="s">
        <v>13</v>
      </c>
      <c r="I1" s="17" t="s">
        <v>17</v>
      </c>
      <c r="J1" s="26" t="s">
        <v>18</v>
      </c>
    </row>
    <row r="2" spans="1:11">
      <c r="A2" s="14">
        <v>1</v>
      </c>
      <c r="B2" s="14">
        <v>601398</v>
      </c>
      <c r="C2" s="17" t="s">
        <v>63</v>
      </c>
      <c r="D2" s="14">
        <v>1</v>
      </c>
      <c r="E2" s="27">
        <v>46182</v>
      </c>
      <c r="F2" s="14">
        <v>16.6114</v>
      </c>
      <c r="G2" s="14">
        <v>1600</v>
      </c>
      <c r="H2" s="14">
        <f>F2*G2</f>
        <v>26578.24</v>
      </c>
      <c r="I2" s="17" t="s">
        <v>20</v>
      </c>
      <c r="J2" s="26"/>
      <c r="K2" s="23"/>
    </row>
    <row r="3" spans="1:11">
      <c r="A3" s="14">
        <v>2</v>
      </c>
      <c r="B3" s="14"/>
      <c r="C3" s="17"/>
      <c r="D3" s="14"/>
      <c r="E3" s="27"/>
      <c r="F3" s="14"/>
      <c r="G3" s="14"/>
      <c r="H3" s="14">
        <f t="shared" ref="H3:H13" si="0">F3*G3</f>
        <v>0</v>
      </c>
      <c r="I3" s="17" t="s">
        <v>20</v>
      </c>
      <c r="J3" s="26"/>
    </row>
    <row r="4" spans="1:11">
      <c r="A4" s="14">
        <v>3</v>
      </c>
      <c r="B4" s="28"/>
      <c r="C4" s="29"/>
      <c r="D4" s="28"/>
      <c r="E4" s="30"/>
      <c r="F4" s="28"/>
      <c r="G4" s="28"/>
      <c r="H4" s="14">
        <f t="shared" si="0"/>
        <v>0</v>
      </c>
      <c r="I4" s="17" t="s">
        <v>20</v>
      </c>
      <c r="J4" s="31"/>
    </row>
    <row r="5" spans="1:11">
      <c r="A5" s="14">
        <v>4</v>
      </c>
      <c r="B5" s="14"/>
      <c r="C5" s="17"/>
      <c r="D5" s="14"/>
      <c r="E5" s="27"/>
      <c r="F5" s="14"/>
      <c r="G5" s="14"/>
      <c r="H5" s="14">
        <f t="shared" si="0"/>
        <v>0</v>
      </c>
      <c r="I5" s="17" t="s">
        <v>20</v>
      </c>
      <c r="J5" s="26"/>
    </row>
    <row r="6" spans="1:11">
      <c r="A6" s="14">
        <v>5</v>
      </c>
      <c r="B6" s="14"/>
      <c r="C6" s="17"/>
      <c r="D6" s="14"/>
      <c r="E6" s="27"/>
      <c r="F6" s="14"/>
      <c r="G6" s="14"/>
      <c r="H6" s="14">
        <f t="shared" si="0"/>
        <v>0</v>
      </c>
      <c r="I6" s="17" t="s">
        <v>20</v>
      </c>
      <c r="J6" s="26"/>
    </row>
    <row r="7" spans="1:11">
      <c r="A7" s="14">
        <v>6</v>
      </c>
      <c r="B7" s="14"/>
      <c r="C7" s="17"/>
      <c r="D7" s="14"/>
      <c r="E7" s="27"/>
      <c r="F7" s="14"/>
      <c r="G7" s="14"/>
      <c r="H7" s="14">
        <f t="shared" si="0"/>
        <v>0</v>
      </c>
      <c r="I7" s="17" t="s">
        <v>20</v>
      </c>
      <c r="J7" s="26"/>
    </row>
    <row r="8" spans="1:11">
      <c r="A8" s="14">
        <v>7</v>
      </c>
      <c r="B8" s="14"/>
      <c r="C8" s="17"/>
      <c r="D8" s="14"/>
      <c r="E8" s="27"/>
      <c r="F8" s="14"/>
      <c r="G8" s="14"/>
      <c r="H8" s="14">
        <f t="shared" si="0"/>
        <v>0</v>
      </c>
      <c r="I8" s="17" t="s">
        <v>20</v>
      </c>
      <c r="J8" s="26"/>
    </row>
    <row r="9" spans="1:11">
      <c r="A9" s="14">
        <v>8</v>
      </c>
      <c r="B9" s="14"/>
      <c r="C9" s="17"/>
      <c r="D9" s="14"/>
      <c r="E9" s="27"/>
      <c r="F9" s="14"/>
      <c r="G9" s="14"/>
      <c r="H9" s="14">
        <f t="shared" si="0"/>
        <v>0</v>
      </c>
      <c r="I9" s="17" t="s">
        <v>20</v>
      </c>
      <c r="J9" s="26"/>
    </row>
    <row r="10" spans="1:11">
      <c r="A10" s="14">
        <v>9</v>
      </c>
      <c r="B10" s="14"/>
      <c r="C10" s="17"/>
      <c r="D10" s="14"/>
      <c r="E10" s="18"/>
      <c r="F10" s="14"/>
      <c r="G10" s="14"/>
      <c r="H10" s="14">
        <f t="shared" si="0"/>
        <v>0</v>
      </c>
      <c r="I10" s="17" t="s">
        <v>20</v>
      </c>
      <c r="J10" s="26"/>
    </row>
    <row r="11" spans="1:11">
      <c r="A11" s="14">
        <v>10</v>
      </c>
      <c r="B11"/>
      <c r="C11"/>
      <c r="D11" s="14"/>
      <c r="E11" s="18"/>
      <c r="F11" s="14"/>
      <c r="G11" s="14"/>
      <c r="H11" s="14">
        <f t="shared" si="0"/>
        <v>0</v>
      </c>
      <c r="I11" s="17" t="s">
        <v>20</v>
      </c>
      <c r="J11" s="26"/>
    </row>
    <row r="12" spans="1:11">
      <c r="A12" s="14">
        <v>11</v>
      </c>
      <c r="B12" s="14"/>
      <c r="C12" s="17"/>
      <c r="D12" s="14"/>
      <c r="E12" s="18"/>
      <c r="F12" s="14"/>
      <c r="G12" s="14"/>
      <c r="H12" s="14">
        <f t="shared" si="0"/>
        <v>0</v>
      </c>
      <c r="I12" s="17" t="s">
        <v>20</v>
      </c>
      <c r="J12" s="26"/>
    </row>
    <row r="13" spans="1:11">
      <c r="A13" s="14">
        <v>12</v>
      </c>
      <c r="B13" s="14"/>
      <c r="C13" s="17"/>
      <c r="D13" s="14"/>
      <c r="E13" s="18"/>
      <c r="F13" s="14"/>
      <c r="G13" s="14"/>
      <c r="H13" s="14">
        <f t="shared" si="0"/>
        <v>0</v>
      </c>
      <c r="I13" s="17" t="s">
        <v>20</v>
      </c>
      <c r="J13" s="26"/>
    </row>
    <row r="14" spans="1:11">
      <c r="A14" s="14">
        <v>13</v>
      </c>
      <c r="B14" s="14"/>
      <c r="C14" s="17"/>
      <c r="D14" s="14"/>
      <c r="E14" s="9"/>
      <c r="F14" s="14"/>
      <c r="G14" s="14"/>
      <c r="H14" s="14">
        <f t="shared" ref="H10:H55" si="1">F14*G14</f>
        <v>0</v>
      </c>
      <c r="I14" s="17" t="s">
        <v>20</v>
      </c>
      <c r="J14" s="26"/>
    </row>
    <row r="15" spans="1:11">
      <c r="A15" s="14">
        <v>14</v>
      </c>
      <c r="B15" s="14"/>
      <c r="C15" s="17"/>
      <c r="D15" s="14"/>
      <c r="E15" s="9"/>
      <c r="F15" s="14"/>
      <c r="G15" s="14"/>
      <c r="H15" s="14">
        <f t="shared" si="1"/>
        <v>0</v>
      </c>
      <c r="I15" s="17" t="s">
        <v>20</v>
      </c>
      <c r="J15" s="26"/>
    </row>
    <row r="16" spans="1:11">
      <c r="A16" s="14">
        <v>15</v>
      </c>
      <c r="B16" s="14"/>
      <c r="C16" s="17"/>
      <c r="D16" s="14"/>
      <c r="E16" s="9"/>
      <c r="F16" s="14"/>
      <c r="G16" s="14"/>
      <c r="H16" s="14">
        <f t="shared" si="1"/>
        <v>0</v>
      </c>
      <c r="I16" s="17" t="s">
        <v>20</v>
      </c>
      <c r="J16" s="26"/>
    </row>
    <row r="17" spans="1:10">
      <c r="A17" s="14">
        <v>16</v>
      </c>
      <c r="B17" s="14"/>
      <c r="C17" s="17"/>
      <c r="D17" s="14"/>
      <c r="E17" s="9"/>
      <c r="F17" s="14"/>
      <c r="G17" s="14"/>
      <c r="H17" s="14">
        <f t="shared" si="1"/>
        <v>0</v>
      </c>
      <c r="I17" s="17" t="s">
        <v>20</v>
      </c>
      <c r="J17" s="26"/>
    </row>
    <row r="18" spans="1:10">
      <c r="A18" s="14">
        <v>17</v>
      </c>
      <c r="B18" s="14"/>
      <c r="C18" s="17"/>
      <c r="D18" s="14"/>
      <c r="E18" s="9"/>
      <c r="F18" s="14"/>
      <c r="G18" s="14"/>
      <c r="H18" s="14">
        <f t="shared" si="1"/>
        <v>0</v>
      </c>
      <c r="I18" s="17" t="s">
        <v>20</v>
      </c>
      <c r="J18" s="26"/>
    </row>
    <row r="19" spans="1:10">
      <c r="A19" s="14">
        <v>18</v>
      </c>
      <c r="B19" s="14"/>
      <c r="C19" s="17"/>
      <c r="D19" s="14"/>
      <c r="E19" s="9"/>
      <c r="F19" s="14"/>
      <c r="G19" s="14"/>
      <c r="H19" s="14">
        <f t="shared" si="1"/>
        <v>0</v>
      </c>
      <c r="I19" s="17" t="s">
        <v>20</v>
      </c>
      <c r="J19" s="26"/>
    </row>
    <row r="20" spans="1:10">
      <c r="A20" s="14">
        <v>19</v>
      </c>
      <c r="B20" s="14"/>
      <c r="C20" s="17"/>
      <c r="D20" s="14"/>
      <c r="E20" s="9"/>
      <c r="F20" s="14"/>
      <c r="G20" s="14"/>
      <c r="H20" s="14">
        <f t="shared" si="1"/>
        <v>0</v>
      </c>
      <c r="I20" s="17" t="s">
        <v>20</v>
      </c>
      <c r="J20" s="26"/>
    </row>
    <row r="21" spans="1:10">
      <c r="A21" s="14">
        <v>20</v>
      </c>
      <c r="B21" s="14"/>
      <c r="C21" s="17"/>
      <c r="D21" s="14"/>
      <c r="E21" s="9"/>
      <c r="F21" s="14"/>
      <c r="G21" s="14"/>
      <c r="H21" s="14">
        <f t="shared" si="1"/>
        <v>0</v>
      </c>
      <c r="I21" s="17" t="s">
        <v>20</v>
      </c>
      <c r="J21" s="26"/>
    </row>
    <row r="22" spans="1:10">
      <c r="A22" s="14">
        <v>21</v>
      </c>
      <c r="B22" s="14"/>
      <c r="C22" s="17"/>
      <c r="D22" s="14"/>
      <c r="E22" s="9"/>
      <c r="F22" s="14"/>
      <c r="G22" s="14"/>
      <c r="H22" s="14">
        <f t="shared" si="1"/>
        <v>0</v>
      </c>
      <c r="I22" s="17" t="s">
        <v>20</v>
      </c>
      <c r="J22" s="26"/>
    </row>
    <row r="23" spans="1:10">
      <c r="A23" s="14">
        <v>22</v>
      </c>
      <c r="B23" s="14"/>
      <c r="C23" s="17"/>
      <c r="D23" s="14"/>
      <c r="E23" s="9"/>
      <c r="F23" s="14"/>
      <c r="G23" s="14"/>
      <c r="H23" s="14">
        <f t="shared" si="1"/>
        <v>0</v>
      </c>
      <c r="I23" s="17" t="s">
        <v>20</v>
      </c>
      <c r="J23" s="26"/>
    </row>
    <row r="24" spans="1:10">
      <c r="A24" s="14">
        <v>23</v>
      </c>
      <c r="B24" s="14"/>
      <c r="C24" s="17"/>
      <c r="D24" s="14"/>
      <c r="E24" s="9"/>
      <c r="F24" s="14"/>
      <c r="G24" s="14"/>
      <c r="H24" s="14">
        <f t="shared" si="1"/>
        <v>0</v>
      </c>
      <c r="I24" s="17" t="s">
        <v>20</v>
      </c>
      <c r="J24" s="26"/>
    </row>
    <row r="25" spans="1:10">
      <c r="A25" s="14">
        <v>24</v>
      </c>
      <c r="B25" s="14"/>
      <c r="C25" s="17"/>
      <c r="D25" s="14"/>
      <c r="E25" s="9"/>
      <c r="F25" s="14"/>
      <c r="G25" s="14"/>
      <c r="H25" s="14">
        <f t="shared" si="1"/>
        <v>0</v>
      </c>
      <c r="I25" s="17" t="s">
        <v>20</v>
      </c>
      <c r="J25" s="26"/>
    </row>
    <row r="26" spans="1:10">
      <c r="A26" s="14">
        <v>25</v>
      </c>
      <c r="B26" s="14"/>
      <c r="C26" s="17"/>
      <c r="D26" s="14"/>
      <c r="E26" s="9"/>
      <c r="F26" s="14"/>
      <c r="G26" s="14"/>
      <c r="H26" s="14">
        <f t="shared" si="1"/>
        <v>0</v>
      </c>
      <c r="I26" s="17" t="s">
        <v>20</v>
      </c>
      <c r="J26" s="26"/>
    </row>
    <row r="27" spans="1:10">
      <c r="A27" s="14">
        <v>26</v>
      </c>
      <c r="B27" s="14"/>
      <c r="C27" s="17"/>
      <c r="D27" s="14"/>
      <c r="E27" s="9"/>
      <c r="F27" s="14"/>
      <c r="G27" s="14"/>
      <c r="H27" s="14">
        <f t="shared" si="1"/>
        <v>0</v>
      </c>
      <c r="I27" s="17" t="s">
        <v>20</v>
      </c>
      <c r="J27" s="26"/>
    </row>
    <row r="28" spans="1:10">
      <c r="A28" s="14">
        <v>27</v>
      </c>
      <c r="B28" s="14"/>
      <c r="C28" s="17"/>
      <c r="D28" s="14"/>
      <c r="E28" s="9"/>
      <c r="F28" s="14"/>
      <c r="G28" s="14"/>
      <c r="H28" s="14">
        <f t="shared" si="1"/>
        <v>0</v>
      </c>
      <c r="I28" s="17" t="s">
        <v>20</v>
      </c>
      <c r="J28" s="26"/>
    </row>
    <row r="29" spans="1:10">
      <c r="A29" s="14">
        <v>28</v>
      </c>
      <c r="B29" s="14"/>
      <c r="C29" s="17"/>
      <c r="D29" s="14"/>
      <c r="E29" s="9"/>
      <c r="F29" s="14"/>
      <c r="G29" s="14"/>
      <c r="H29" s="14">
        <f t="shared" si="1"/>
        <v>0</v>
      </c>
      <c r="I29" s="17" t="s">
        <v>20</v>
      </c>
      <c r="J29" s="26"/>
    </row>
    <row r="30" spans="1:10">
      <c r="A30" s="14">
        <v>29</v>
      </c>
      <c r="B30" s="14"/>
      <c r="C30" s="17"/>
      <c r="D30" s="14"/>
      <c r="E30" s="9"/>
      <c r="F30" s="14"/>
      <c r="G30" s="14"/>
      <c r="H30" s="14">
        <f t="shared" si="1"/>
        <v>0</v>
      </c>
      <c r="I30" s="17" t="s">
        <v>20</v>
      </c>
      <c r="J30" s="26"/>
    </row>
    <row r="31" spans="1:10">
      <c r="A31" s="14">
        <v>30</v>
      </c>
      <c r="B31" s="14"/>
      <c r="C31" s="17"/>
      <c r="D31" s="14"/>
      <c r="E31" s="9"/>
      <c r="F31" s="14"/>
      <c r="G31" s="14"/>
      <c r="H31" s="14">
        <f t="shared" si="1"/>
        <v>0</v>
      </c>
      <c r="I31" s="17" t="s">
        <v>20</v>
      </c>
      <c r="J31" s="26"/>
    </row>
    <row r="32" spans="1:10">
      <c r="A32" s="14">
        <v>31</v>
      </c>
      <c r="B32" s="14"/>
      <c r="C32" s="17"/>
      <c r="D32" s="14"/>
      <c r="E32" s="9"/>
      <c r="F32" s="14"/>
      <c r="G32" s="14"/>
      <c r="H32" s="14">
        <f t="shared" si="1"/>
        <v>0</v>
      </c>
      <c r="I32" s="17" t="s">
        <v>20</v>
      </c>
      <c r="J32" s="26"/>
    </row>
    <row r="33" spans="1:10">
      <c r="A33" s="14">
        <v>32</v>
      </c>
      <c r="B33" s="14"/>
      <c r="C33" s="17"/>
      <c r="D33" s="14"/>
      <c r="E33" s="9"/>
      <c r="F33" s="14"/>
      <c r="G33" s="14"/>
      <c r="H33" s="14">
        <f t="shared" si="1"/>
        <v>0</v>
      </c>
      <c r="I33" s="17" t="s">
        <v>20</v>
      </c>
      <c r="J33" s="26"/>
    </row>
    <row r="34" spans="1:10">
      <c r="A34" s="14">
        <v>33</v>
      </c>
      <c r="B34" s="14"/>
      <c r="C34" s="17"/>
      <c r="D34" s="14"/>
      <c r="E34" s="9"/>
      <c r="F34" s="14"/>
      <c r="G34" s="14"/>
      <c r="H34" s="14">
        <f t="shared" si="1"/>
        <v>0</v>
      </c>
      <c r="I34" s="17" t="s">
        <v>20</v>
      </c>
      <c r="J34" s="26"/>
    </row>
    <row r="35" spans="1:10">
      <c r="A35" s="14">
        <v>34</v>
      </c>
      <c r="B35" s="14"/>
      <c r="C35" s="17"/>
      <c r="D35" s="14"/>
      <c r="E35" s="9"/>
      <c r="F35" s="14"/>
      <c r="G35" s="14"/>
      <c r="H35" s="14">
        <f t="shared" si="1"/>
        <v>0</v>
      </c>
      <c r="I35" s="17" t="s">
        <v>20</v>
      </c>
      <c r="J35" s="26"/>
    </row>
    <row r="36" spans="1:10">
      <c r="A36" s="14">
        <v>35</v>
      </c>
      <c r="B36" s="14"/>
      <c r="C36" s="17"/>
      <c r="D36" s="14"/>
      <c r="E36" s="9"/>
      <c r="F36" s="14"/>
      <c r="G36" s="14"/>
      <c r="H36" s="14">
        <f t="shared" si="1"/>
        <v>0</v>
      </c>
      <c r="I36" s="17" t="s">
        <v>20</v>
      </c>
      <c r="J36" s="26"/>
    </row>
    <row r="37" spans="1:10">
      <c r="A37" s="14">
        <v>36</v>
      </c>
      <c r="B37" s="14"/>
      <c r="C37" s="17"/>
      <c r="D37" s="14"/>
      <c r="E37" s="9"/>
      <c r="F37" s="14"/>
      <c r="G37" s="14"/>
      <c r="H37" s="14">
        <f t="shared" si="1"/>
        <v>0</v>
      </c>
      <c r="I37" s="17" t="s">
        <v>20</v>
      </c>
      <c r="J37" s="26"/>
    </row>
    <row r="38" spans="1:10">
      <c r="A38" s="14">
        <v>37</v>
      </c>
      <c r="B38" s="14"/>
      <c r="C38" s="17"/>
      <c r="D38" s="14"/>
      <c r="E38" s="9"/>
      <c r="F38" s="14"/>
      <c r="G38" s="14"/>
      <c r="H38" s="14">
        <f t="shared" si="1"/>
        <v>0</v>
      </c>
      <c r="I38" s="17" t="s">
        <v>20</v>
      </c>
      <c r="J38" s="26"/>
    </row>
    <row r="39" spans="1:10">
      <c r="A39" s="14">
        <v>38</v>
      </c>
      <c r="B39" s="14"/>
      <c r="C39" s="17"/>
      <c r="D39" s="14"/>
      <c r="E39" s="9"/>
      <c r="F39" s="14"/>
      <c r="G39" s="14"/>
      <c r="H39" s="14">
        <f t="shared" si="1"/>
        <v>0</v>
      </c>
      <c r="I39" s="17" t="s">
        <v>20</v>
      </c>
      <c r="J39" s="26"/>
    </row>
    <row r="40" spans="1:10">
      <c r="A40" s="14">
        <v>39</v>
      </c>
      <c r="B40" s="14"/>
      <c r="C40" s="17"/>
      <c r="D40" s="14"/>
      <c r="E40" s="9"/>
      <c r="F40" s="14"/>
      <c r="G40" s="14"/>
      <c r="H40" s="14">
        <f t="shared" si="1"/>
        <v>0</v>
      </c>
      <c r="I40" s="17" t="s">
        <v>20</v>
      </c>
      <c r="J40" s="26"/>
    </row>
    <row r="41" spans="1:10">
      <c r="A41" s="14">
        <v>40</v>
      </c>
      <c r="B41" s="14"/>
      <c r="C41" s="17"/>
      <c r="D41" s="14"/>
      <c r="E41" s="9"/>
      <c r="F41" s="14"/>
      <c r="G41" s="14"/>
      <c r="H41" s="14">
        <f t="shared" si="1"/>
        <v>0</v>
      </c>
      <c r="I41" s="17" t="s">
        <v>20</v>
      </c>
      <c r="J41" s="26"/>
    </row>
    <row r="42" spans="1:10">
      <c r="A42" s="14">
        <v>41</v>
      </c>
      <c r="B42" s="14"/>
      <c r="C42" s="17"/>
      <c r="D42" s="14"/>
      <c r="E42" s="9"/>
      <c r="F42" s="14"/>
      <c r="G42" s="14"/>
      <c r="H42" s="14">
        <f t="shared" si="1"/>
        <v>0</v>
      </c>
      <c r="I42" s="17" t="s">
        <v>20</v>
      </c>
      <c r="J42" s="26"/>
    </row>
    <row r="43" spans="1:10">
      <c r="A43" s="14">
        <v>42</v>
      </c>
      <c r="B43" s="14"/>
      <c r="C43" s="17"/>
      <c r="D43" s="14"/>
      <c r="E43" s="9"/>
      <c r="F43" s="14"/>
      <c r="G43" s="14"/>
      <c r="H43" s="14">
        <f t="shared" si="1"/>
        <v>0</v>
      </c>
      <c r="I43" s="17" t="s">
        <v>20</v>
      </c>
      <c r="J43" s="26"/>
    </row>
    <row r="44" spans="1:10">
      <c r="A44" s="14">
        <v>43</v>
      </c>
      <c r="B44" s="14"/>
      <c r="C44" s="17"/>
      <c r="D44" s="14"/>
      <c r="E44" s="9"/>
      <c r="F44" s="14"/>
      <c r="G44" s="14"/>
      <c r="H44" s="14">
        <f t="shared" si="1"/>
        <v>0</v>
      </c>
      <c r="I44" s="17" t="s">
        <v>20</v>
      </c>
      <c r="J44" s="26"/>
    </row>
    <row r="45" spans="1:10">
      <c r="A45" s="14">
        <v>44</v>
      </c>
      <c r="B45" s="14"/>
      <c r="C45" s="17"/>
      <c r="D45" s="14"/>
      <c r="E45" s="9"/>
      <c r="F45" s="14"/>
      <c r="G45" s="14"/>
      <c r="H45" s="14">
        <f t="shared" si="1"/>
        <v>0</v>
      </c>
      <c r="I45" s="17" t="s">
        <v>20</v>
      </c>
      <c r="J45" s="26"/>
    </row>
    <row r="46" spans="1:10">
      <c r="A46" s="14">
        <v>45</v>
      </c>
      <c r="B46" s="14"/>
      <c r="C46" s="17"/>
      <c r="D46" s="14"/>
      <c r="E46" s="9"/>
      <c r="F46" s="14"/>
      <c r="G46" s="14"/>
      <c r="H46" s="14">
        <f t="shared" si="1"/>
        <v>0</v>
      </c>
      <c r="I46" s="17" t="s">
        <v>20</v>
      </c>
      <c r="J46" s="26"/>
    </row>
    <row r="47" spans="1:10">
      <c r="A47" s="14">
        <v>46</v>
      </c>
      <c r="B47" s="14"/>
      <c r="C47" s="17"/>
      <c r="D47" s="14"/>
      <c r="E47" s="9"/>
      <c r="F47" s="14"/>
      <c r="G47" s="14"/>
      <c r="H47" s="14">
        <f t="shared" si="1"/>
        <v>0</v>
      </c>
      <c r="I47" s="17" t="s">
        <v>20</v>
      </c>
      <c r="J47" s="26"/>
    </row>
    <row r="48" spans="1:10">
      <c r="A48" s="14">
        <v>47</v>
      </c>
      <c r="B48" s="14"/>
      <c r="C48" s="17"/>
      <c r="D48" s="14"/>
      <c r="E48" s="9"/>
      <c r="F48" s="14"/>
      <c r="G48" s="14"/>
      <c r="H48" s="14">
        <f t="shared" si="1"/>
        <v>0</v>
      </c>
      <c r="I48" s="17" t="s">
        <v>20</v>
      </c>
      <c r="J48" s="26"/>
    </row>
    <row r="49" spans="1:10">
      <c r="A49" s="14">
        <v>48</v>
      </c>
      <c r="B49" s="14"/>
      <c r="C49" s="17"/>
      <c r="D49" s="14"/>
      <c r="E49" s="9"/>
      <c r="F49" s="14"/>
      <c r="G49" s="14"/>
      <c r="H49" s="14">
        <f t="shared" si="1"/>
        <v>0</v>
      </c>
      <c r="I49" s="17" t="s">
        <v>20</v>
      </c>
      <c r="J49" s="26"/>
    </row>
    <row r="50" spans="1:10">
      <c r="A50" s="14">
        <v>49</v>
      </c>
      <c r="B50" s="14"/>
      <c r="C50" s="17"/>
      <c r="D50" s="14"/>
      <c r="E50" s="9"/>
      <c r="F50" s="14"/>
      <c r="G50" s="14"/>
      <c r="H50" s="14">
        <f t="shared" si="1"/>
        <v>0</v>
      </c>
      <c r="I50" s="17" t="s">
        <v>20</v>
      </c>
      <c r="J50" s="26"/>
    </row>
    <row r="51" spans="1:10">
      <c r="A51" s="14">
        <v>50</v>
      </c>
      <c r="B51" s="14"/>
      <c r="C51" s="17"/>
      <c r="D51" s="14"/>
      <c r="E51" s="9"/>
      <c r="F51" s="14"/>
      <c r="G51" s="14"/>
      <c r="H51" s="14">
        <f t="shared" si="1"/>
        <v>0</v>
      </c>
      <c r="I51" s="17" t="s">
        <v>20</v>
      </c>
      <c r="J51" s="26"/>
    </row>
    <row r="52" spans="1:10">
      <c r="A52" s="14">
        <v>51</v>
      </c>
      <c r="B52" s="14"/>
      <c r="C52" s="17"/>
      <c r="D52" s="14"/>
      <c r="E52" s="9"/>
      <c r="F52" s="14"/>
      <c r="G52" s="14"/>
      <c r="H52" s="14">
        <f t="shared" si="1"/>
        <v>0</v>
      </c>
      <c r="I52" s="17" t="s">
        <v>20</v>
      </c>
      <c r="J52" s="26"/>
    </row>
    <row r="53" spans="1:10">
      <c r="A53" s="14">
        <v>52</v>
      </c>
      <c r="B53" s="14"/>
      <c r="C53" s="17"/>
      <c r="D53" s="14"/>
      <c r="E53" s="9"/>
      <c r="F53" s="14"/>
      <c r="G53" s="14"/>
      <c r="H53" s="14">
        <f t="shared" si="1"/>
        <v>0</v>
      </c>
      <c r="I53" s="17" t="s">
        <v>20</v>
      </c>
      <c r="J53" s="26"/>
    </row>
    <row r="54" spans="1:10">
      <c r="A54" s="14">
        <v>53</v>
      </c>
      <c r="B54" s="14"/>
      <c r="C54" s="17"/>
      <c r="D54" s="14"/>
      <c r="E54" s="9"/>
      <c r="F54" s="14"/>
      <c r="G54" s="14"/>
      <c r="H54" s="14">
        <f t="shared" si="1"/>
        <v>0</v>
      </c>
      <c r="I54" s="17" t="s">
        <v>20</v>
      </c>
      <c r="J54" s="26"/>
    </row>
    <row r="55" spans="1:10">
      <c r="A55" s="14">
        <v>54</v>
      </c>
      <c r="B55" s="14"/>
      <c r="C55" s="17"/>
      <c r="D55" s="14"/>
      <c r="E55" s="9"/>
      <c r="F55" s="14"/>
      <c r="G55" s="14"/>
      <c r="H55" s="14">
        <f t="shared" si="1"/>
        <v>0</v>
      </c>
      <c r="I55" s="17" t="s">
        <v>20</v>
      </c>
      <c r="J55" s="26"/>
    </row>
    <row r="56" spans="1:10">
      <c r="A56" s="14">
        <v>55</v>
      </c>
      <c r="B56" s="14"/>
      <c r="C56" s="17"/>
      <c r="D56" s="14"/>
      <c r="E56" s="9"/>
      <c r="F56" s="14"/>
      <c r="G56" s="14"/>
      <c r="H56" s="14">
        <f t="shared" ref="H56:H93" si="2">F56*G56</f>
        <v>0</v>
      </c>
      <c r="I56" s="17" t="s">
        <v>20</v>
      </c>
      <c r="J56" s="26"/>
    </row>
    <row r="57" spans="1:10">
      <c r="A57" s="14">
        <v>56</v>
      </c>
      <c r="B57" s="14"/>
      <c r="C57" s="17"/>
      <c r="D57" s="14"/>
      <c r="E57" s="9"/>
      <c r="F57" s="14"/>
      <c r="G57" s="14"/>
      <c r="H57" s="14">
        <f t="shared" si="2"/>
        <v>0</v>
      </c>
      <c r="I57" s="17" t="s">
        <v>20</v>
      </c>
      <c r="J57" s="26"/>
    </row>
    <row r="58" spans="1:10">
      <c r="A58" s="14">
        <v>57</v>
      </c>
      <c r="B58" s="14"/>
      <c r="C58" s="17"/>
      <c r="D58" s="14"/>
      <c r="E58" s="9"/>
      <c r="F58" s="14"/>
      <c r="G58" s="14"/>
      <c r="H58" s="14">
        <f t="shared" si="2"/>
        <v>0</v>
      </c>
      <c r="I58" s="17" t="s">
        <v>20</v>
      </c>
      <c r="J58" s="26"/>
    </row>
    <row r="59" spans="1:10">
      <c r="A59" s="14">
        <v>58</v>
      </c>
      <c r="B59" s="14"/>
      <c r="C59" s="17"/>
      <c r="D59" s="14"/>
      <c r="E59" s="9"/>
      <c r="F59" s="14"/>
      <c r="G59" s="14"/>
      <c r="H59" s="14">
        <f t="shared" si="2"/>
        <v>0</v>
      </c>
      <c r="I59" s="17" t="s">
        <v>20</v>
      </c>
      <c r="J59" s="26"/>
    </row>
    <row r="60" spans="1:10">
      <c r="A60" s="14">
        <v>59</v>
      </c>
      <c r="B60" s="14"/>
      <c r="C60" s="17"/>
      <c r="D60" s="14"/>
      <c r="E60" s="9"/>
      <c r="F60" s="14"/>
      <c r="G60" s="14"/>
      <c r="H60" s="14">
        <f t="shared" si="2"/>
        <v>0</v>
      </c>
      <c r="I60" s="17" t="s">
        <v>20</v>
      </c>
      <c r="J60" s="26"/>
    </row>
    <row r="61" spans="1:10">
      <c r="A61" s="14">
        <v>60</v>
      </c>
      <c r="B61" s="14"/>
      <c r="C61" s="17"/>
      <c r="D61" s="14"/>
      <c r="E61" s="9"/>
      <c r="F61" s="14"/>
      <c r="G61" s="14"/>
      <c r="H61" s="14">
        <f t="shared" si="2"/>
        <v>0</v>
      </c>
      <c r="I61" s="17" t="s">
        <v>20</v>
      </c>
      <c r="J61" s="26"/>
    </row>
    <row r="62" spans="1:10">
      <c r="A62" s="14">
        <v>61</v>
      </c>
      <c r="B62" s="14"/>
      <c r="C62" s="17"/>
      <c r="D62" s="14"/>
      <c r="E62" s="9"/>
      <c r="F62" s="14"/>
      <c r="G62" s="14"/>
      <c r="H62" s="14">
        <f t="shared" si="2"/>
        <v>0</v>
      </c>
      <c r="I62" s="17" t="s">
        <v>20</v>
      </c>
      <c r="J62" s="26"/>
    </row>
    <row r="63" spans="1:10">
      <c r="A63" s="14">
        <v>62</v>
      </c>
      <c r="B63" s="14"/>
      <c r="C63" s="17"/>
      <c r="D63" s="14"/>
      <c r="E63" s="9"/>
      <c r="F63" s="14"/>
      <c r="G63" s="14"/>
      <c r="H63" s="14">
        <f t="shared" si="2"/>
        <v>0</v>
      </c>
      <c r="I63" s="17" t="s">
        <v>20</v>
      </c>
      <c r="J63" s="26"/>
    </row>
    <row r="64" spans="1:10">
      <c r="A64" s="14">
        <v>63</v>
      </c>
      <c r="B64" s="14"/>
      <c r="C64" s="17"/>
      <c r="D64" s="14"/>
      <c r="E64" s="9"/>
      <c r="F64" s="14"/>
      <c r="G64" s="14"/>
      <c r="H64" s="14">
        <f t="shared" si="2"/>
        <v>0</v>
      </c>
      <c r="I64" s="17" t="s">
        <v>20</v>
      </c>
      <c r="J64" s="26"/>
    </row>
    <row r="65" spans="1:10">
      <c r="A65" s="14">
        <v>64</v>
      </c>
      <c r="B65" s="14"/>
      <c r="C65" s="17"/>
      <c r="D65" s="14"/>
      <c r="E65" s="9"/>
      <c r="F65" s="14"/>
      <c r="G65" s="14"/>
      <c r="H65" s="14">
        <f t="shared" si="2"/>
        <v>0</v>
      </c>
      <c r="I65" s="17" t="s">
        <v>20</v>
      </c>
      <c r="J65" s="26"/>
    </row>
    <row r="66" spans="1:10">
      <c r="A66" s="14">
        <v>65</v>
      </c>
      <c r="B66" s="14"/>
      <c r="C66" s="17"/>
      <c r="D66" s="14"/>
      <c r="E66" s="9"/>
      <c r="F66" s="14"/>
      <c r="G66" s="14"/>
      <c r="H66" s="14">
        <f t="shared" si="2"/>
        <v>0</v>
      </c>
      <c r="I66" s="17" t="s">
        <v>20</v>
      </c>
      <c r="J66" s="26"/>
    </row>
    <row r="67" spans="1:10">
      <c r="A67" s="14">
        <v>66</v>
      </c>
      <c r="B67" s="14"/>
      <c r="C67" s="17"/>
      <c r="D67" s="14"/>
      <c r="E67" s="9"/>
      <c r="F67" s="14"/>
      <c r="G67" s="14"/>
      <c r="H67" s="14">
        <f t="shared" si="2"/>
        <v>0</v>
      </c>
      <c r="I67" s="17" t="s">
        <v>20</v>
      </c>
      <c r="J67" s="26"/>
    </row>
    <row r="68" spans="1:10">
      <c r="A68" s="14">
        <v>67</v>
      </c>
      <c r="B68" s="14"/>
      <c r="C68" s="17"/>
      <c r="D68" s="14"/>
      <c r="E68" s="9"/>
      <c r="F68" s="14"/>
      <c r="G68" s="14"/>
      <c r="H68" s="14">
        <f t="shared" si="2"/>
        <v>0</v>
      </c>
      <c r="I68" s="17" t="s">
        <v>20</v>
      </c>
      <c r="J68" s="26"/>
    </row>
    <row r="69" spans="1:10">
      <c r="A69" s="14">
        <v>68</v>
      </c>
      <c r="B69" s="14"/>
      <c r="C69" s="17"/>
      <c r="D69" s="14"/>
      <c r="E69" s="9"/>
      <c r="F69" s="14"/>
      <c r="G69" s="14"/>
      <c r="H69" s="14">
        <f t="shared" si="2"/>
        <v>0</v>
      </c>
      <c r="I69" s="17" t="s">
        <v>20</v>
      </c>
      <c r="J69" s="26"/>
    </row>
    <row r="70" spans="1:10">
      <c r="A70" s="14">
        <v>69</v>
      </c>
      <c r="B70" s="14"/>
      <c r="C70" s="17"/>
      <c r="D70" s="14"/>
      <c r="E70" s="9"/>
      <c r="F70" s="14"/>
      <c r="G70" s="14"/>
      <c r="H70" s="14">
        <f t="shared" si="2"/>
        <v>0</v>
      </c>
      <c r="I70" s="17" t="s">
        <v>20</v>
      </c>
      <c r="J70" s="26"/>
    </row>
    <row r="71" spans="1:10">
      <c r="A71" s="14">
        <v>70</v>
      </c>
      <c r="B71" s="14"/>
      <c r="C71" s="17"/>
      <c r="D71" s="14"/>
      <c r="E71" s="9"/>
      <c r="F71" s="14"/>
      <c r="G71" s="14"/>
      <c r="H71" s="14">
        <f t="shared" si="2"/>
        <v>0</v>
      </c>
      <c r="I71" s="17" t="s">
        <v>20</v>
      </c>
      <c r="J71" s="26"/>
    </row>
    <row r="72" spans="1:10">
      <c r="A72" s="14">
        <v>71</v>
      </c>
      <c r="B72" s="14"/>
      <c r="C72" s="17"/>
      <c r="D72" s="14"/>
      <c r="E72" s="9"/>
      <c r="F72" s="14"/>
      <c r="G72" s="14"/>
      <c r="H72" s="14">
        <f t="shared" si="2"/>
        <v>0</v>
      </c>
      <c r="I72" s="17" t="s">
        <v>20</v>
      </c>
      <c r="J72" s="26"/>
    </row>
    <row r="73" spans="1:10">
      <c r="A73" s="14">
        <v>72</v>
      </c>
      <c r="B73" s="14"/>
      <c r="C73" s="17"/>
      <c r="D73" s="14"/>
      <c r="E73" s="9"/>
      <c r="F73" s="14"/>
      <c r="G73" s="14"/>
      <c r="H73" s="14">
        <f t="shared" si="2"/>
        <v>0</v>
      </c>
      <c r="I73" s="17" t="s">
        <v>20</v>
      </c>
      <c r="J73" s="26"/>
    </row>
    <row r="74" spans="1:10">
      <c r="A74" s="14">
        <v>73</v>
      </c>
      <c r="B74" s="14"/>
      <c r="C74" s="17"/>
      <c r="D74" s="14"/>
      <c r="E74" s="9"/>
      <c r="F74" s="14"/>
      <c r="G74" s="14"/>
      <c r="H74" s="14">
        <f t="shared" si="2"/>
        <v>0</v>
      </c>
      <c r="I74" s="17" t="s">
        <v>20</v>
      </c>
      <c r="J74" s="26"/>
    </row>
    <row r="75" spans="1:10">
      <c r="A75" s="14">
        <v>74</v>
      </c>
      <c r="B75" s="14"/>
      <c r="C75" s="17"/>
      <c r="D75" s="14"/>
      <c r="E75" s="9"/>
      <c r="F75" s="14"/>
      <c r="G75" s="14"/>
      <c r="H75" s="14">
        <f t="shared" si="2"/>
        <v>0</v>
      </c>
      <c r="I75" s="17" t="s">
        <v>20</v>
      </c>
      <c r="J75" s="26"/>
    </row>
    <row r="76" spans="1:10">
      <c r="A76" s="14">
        <v>75</v>
      </c>
      <c r="B76" s="14"/>
      <c r="C76" s="17"/>
      <c r="D76" s="14"/>
      <c r="E76" s="9"/>
      <c r="F76" s="14"/>
      <c r="G76" s="14"/>
      <c r="H76" s="14">
        <f t="shared" si="2"/>
        <v>0</v>
      </c>
      <c r="I76" s="17" t="s">
        <v>20</v>
      </c>
      <c r="J76" s="26"/>
    </row>
    <row r="77" spans="1:10">
      <c r="A77" s="14">
        <v>76</v>
      </c>
      <c r="B77" s="14"/>
      <c r="C77" s="17"/>
      <c r="D77" s="14"/>
      <c r="E77" s="9"/>
      <c r="F77" s="14"/>
      <c r="G77" s="14"/>
      <c r="H77" s="14">
        <f t="shared" si="2"/>
        <v>0</v>
      </c>
      <c r="I77" s="17" t="s">
        <v>20</v>
      </c>
      <c r="J77" s="26"/>
    </row>
    <row r="78" spans="1:10">
      <c r="A78" s="14">
        <v>77</v>
      </c>
      <c r="B78" s="14"/>
      <c r="C78" s="17"/>
      <c r="D78" s="14"/>
      <c r="E78" s="9"/>
      <c r="F78" s="14"/>
      <c r="G78" s="14"/>
      <c r="H78" s="14">
        <f t="shared" si="2"/>
        <v>0</v>
      </c>
      <c r="I78" s="17" t="s">
        <v>20</v>
      </c>
      <c r="J78" s="26"/>
    </row>
    <row r="79" spans="1:10">
      <c r="A79" s="14">
        <v>78</v>
      </c>
      <c r="B79" s="14"/>
      <c r="C79" s="17"/>
      <c r="D79" s="14"/>
      <c r="E79" s="9"/>
      <c r="F79" s="14"/>
      <c r="G79" s="14"/>
      <c r="H79" s="14">
        <f t="shared" si="2"/>
        <v>0</v>
      </c>
      <c r="I79" s="17" t="s">
        <v>20</v>
      </c>
      <c r="J79" s="26"/>
    </row>
    <row r="80" spans="1:10">
      <c r="A80" s="14">
        <v>79</v>
      </c>
      <c r="B80" s="14"/>
      <c r="C80" s="17"/>
      <c r="D80" s="14"/>
      <c r="E80" s="9"/>
      <c r="F80" s="14"/>
      <c r="G80" s="14"/>
      <c r="H80" s="14">
        <f t="shared" si="2"/>
        <v>0</v>
      </c>
      <c r="I80" s="17" t="s">
        <v>20</v>
      </c>
      <c r="J80" s="26"/>
    </row>
    <row r="81" spans="1:10">
      <c r="A81" s="14">
        <v>80</v>
      </c>
      <c r="B81" s="14"/>
      <c r="C81" s="17"/>
      <c r="D81" s="14"/>
      <c r="E81" s="9"/>
      <c r="F81" s="14"/>
      <c r="G81" s="14"/>
      <c r="H81" s="14">
        <f t="shared" si="2"/>
        <v>0</v>
      </c>
      <c r="I81" s="17" t="s">
        <v>20</v>
      </c>
      <c r="J81" s="26"/>
    </row>
    <row r="82" spans="1:10">
      <c r="A82" s="14">
        <v>81</v>
      </c>
      <c r="B82" s="14"/>
      <c r="C82" s="17"/>
      <c r="D82" s="14"/>
      <c r="E82" s="9"/>
      <c r="F82" s="14"/>
      <c r="G82" s="14"/>
      <c r="H82" s="14">
        <f t="shared" si="2"/>
        <v>0</v>
      </c>
      <c r="I82" s="17" t="s">
        <v>20</v>
      </c>
      <c r="J82" s="26"/>
    </row>
    <row r="83" spans="1:10">
      <c r="A83" s="14">
        <v>82</v>
      </c>
      <c r="B83" s="14"/>
      <c r="C83" s="17"/>
      <c r="D83" s="14"/>
      <c r="E83" s="9"/>
      <c r="F83" s="14"/>
      <c r="G83" s="14"/>
      <c r="H83" s="14">
        <f t="shared" si="2"/>
        <v>0</v>
      </c>
      <c r="I83" s="17" t="s">
        <v>20</v>
      </c>
      <c r="J83" s="26"/>
    </row>
    <row r="84" spans="1:10">
      <c r="A84" s="14">
        <v>83</v>
      </c>
      <c r="B84" s="14"/>
      <c r="C84" s="17"/>
      <c r="D84" s="14"/>
      <c r="E84" s="9"/>
      <c r="F84" s="14"/>
      <c r="G84" s="14"/>
      <c r="H84" s="14">
        <f t="shared" si="2"/>
        <v>0</v>
      </c>
      <c r="I84" s="17" t="s">
        <v>20</v>
      </c>
      <c r="J84" s="26"/>
    </row>
    <row r="85" spans="1:10">
      <c r="A85" s="14">
        <v>84</v>
      </c>
      <c r="B85" s="14"/>
      <c r="C85" s="17"/>
      <c r="D85" s="14"/>
      <c r="E85" s="9"/>
      <c r="F85" s="14"/>
      <c r="G85" s="14"/>
      <c r="H85" s="14">
        <f t="shared" si="2"/>
        <v>0</v>
      </c>
      <c r="I85" s="17" t="s">
        <v>20</v>
      </c>
      <c r="J85" s="26"/>
    </row>
    <row r="86" spans="1:10">
      <c r="A86" s="14">
        <v>85</v>
      </c>
      <c r="B86" s="14"/>
      <c r="C86" s="17"/>
      <c r="D86" s="14"/>
      <c r="E86" s="9"/>
      <c r="F86" s="14"/>
      <c r="G86" s="14"/>
      <c r="H86" s="14">
        <f t="shared" si="2"/>
        <v>0</v>
      </c>
      <c r="I86" s="17" t="s">
        <v>20</v>
      </c>
      <c r="J86" s="26"/>
    </row>
    <row r="87" spans="1:10">
      <c r="A87" s="14">
        <v>86</v>
      </c>
      <c r="B87" s="14"/>
      <c r="C87" s="17"/>
      <c r="D87" s="14"/>
      <c r="E87" s="9"/>
      <c r="F87" s="14"/>
      <c r="G87" s="14"/>
      <c r="H87" s="14">
        <f t="shared" si="2"/>
        <v>0</v>
      </c>
      <c r="I87" s="17" t="s">
        <v>20</v>
      </c>
      <c r="J87" s="26"/>
    </row>
    <row r="88" spans="1:10">
      <c r="A88" s="14">
        <v>87</v>
      </c>
      <c r="B88" s="14"/>
      <c r="C88" s="17"/>
      <c r="D88" s="14"/>
      <c r="E88" s="9"/>
      <c r="F88" s="14"/>
      <c r="G88" s="14"/>
      <c r="H88" s="14">
        <f t="shared" si="2"/>
        <v>0</v>
      </c>
      <c r="I88" s="17" t="s">
        <v>20</v>
      </c>
      <c r="J88" s="26"/>
    </row>
    <row r="89" spans="1:10">
      <c r="A89" s="14">
        <v>88</v>
      </c>
      <c r="B89" s="14"/>
      <c r="C89" s="17"/>
      <c r="D89" s="14"/>
      <c r="E89" s="9"/>
      <c r="F89" s="14"/>
      <c r="G89" s="14"/>
      <c r="H89" s="14">
        <f t="shared" si="2"/>
        <v>0</v>
      </c>
      <c r="I89" s="17" t="s">
        <v>20</v>
      </c>
      <c r="J89" s="26"/>
    </row>
    <row r="90" spans="1:10">
      <c r="A90" s="14">
        <v>89</v>
      </c>
      <c r="B90" s="14"/>
      <c r="C90" s="17"/>
      <c r="D90" s="14"/>
      <c r="E90" s="9"/>
      <c r="F90" s="14"/>
      <c r="G90" s="14"/>
      <c r="H90" s="14">
        <f t="shared" si="2"/>
        <v>0</v>
      </c>
      <c r="I90" s="17" t="s">
        <v>20</v>
      </c>
      <c r="J90" s="26"/>
    </row>
    <row r="91" spans="1:10">
      <c r="A91" s="14">
        <v>90</v>
      </c>
      <c r="B91" s="14"/>
      <c r="C91" s="17"/>
      <c r="D91" s="14"/>
      <c r="E91" s="9"/>
      <c r="F91" s="14"/>
      <c r="G91" s="14"/>
      <c r="H91" s="14">
        <f t="shared" si="2"/>
        <v>0</v>
      </c>
      <c r="I91" s="17" t="s">
        <v>20</v>
      </c>
      <c r="J91" s="26"/>
    </row>
    <row r="92" spans="1:10">
      <c r="A92" s="14">
        <v>91</v>
      </c>
      <c r="B92" s="14"/>
      <c r="C92" s="17"/>
      <c r="D92" s="14"/>
      <c r="E92" s="9"/>
      <c r="F92" s="14"/>
      <c r="G92" s="14"/>
      <c r="H92" s="14">
        <f t="shared" si="2"/>
        <v>0</v>
      </c>
      <c r="I92" s="17" t="s">
        <v>20</v>
      </c>
      <c r="J92" s="26"/>
    </row>
    <row r="93" spans="1:10">
      <c r="A93" s="14">
        <v>92</v>
      </c>
      <c r="B93" s="14"/>
      <c r="C93" s="17"/>
      <c r="D93" s="14"/>
      <c r="E93" s="9"/>
      <c r="F93" s="14"/>
      <c r="G93" s="14"/>
      <c r="H93" s="14">
        <f t="shared" si="2"/>
        <v>0</v>
      </c>
      <c r="I93" s="17" t="s">
        <v>20</v>
      </c>
      <c r="J93" s="26"/>
    </row>
  </sheetData>
  <autoFilter xmlns:etc="http://www.wps.cn/officeDocument/2017/etCustomData" ref="B1:I93" etc:filterBottomFollowUsedRange="0">
    <extLst/>
  </autoFilter>
  <dataValidations count="1">
    <dataValidation type="list" allowBlank="1" showInputMessage="1" showErrorMessage="1" sqref="I$1:I$1048576">
      <formula1>$I$2:$I$10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J6" sqref="J6"/>
    </sheetView>
  </sheetViews>
  <sheetFormatPr defaultColWidth="9" defaultRowHeight="14.4"/>
  <cols>
    <col min="2" max="2" width="10.6388888888889"/>
    <col min="4" max="4" width="9" style="15"/>
    <col min="8" max="8" width="22.1296296296296" customWidth="1"/>
    <col min="9" max="9" width="11.8703703703704" style="15" customWidth="1"/>
    <col min="11" max="11" width="10.8703703703704" customWidth="1"/>
  </cols>
  <sheetData>
    <row r="1" spans="1:13">
      <c r="A1" s="17" t="s">
        <v>7</v>
      </c>
      <c r="B1" s="9" t="s">
        <v>64</v>
      </c>
      <c r="C1" s="9" t="s">
        <v>65</v>
      </c>
      <c r="D1" s="14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14" t="s">
        <v>14</v>
      </c>
      <c r="J1" s="9" t="s">
        <v>71</v>
      </c>
      <c r="K1" s="9" t="s">
        <v>72</v>
      </c>
      <c r="L1" s="9" t="s">
        <v>73</v>
      </c>
      <c r="M1" s="9" t="s">
        <v>74</v>
      </c>
    </row>
    <row r="2" spans="1:13">
      <c r="A2" s="17">
        <v>1</v>
      </c>
      <c r="B2" s="18">
        <v>46188</v>
      </c>
      <c r="C2" s="64" t="s">
        <v>25</v>
      </c>
      <c r="D2" s="14" t="s">
        <v>26</v>
      </c>
      <c r="E2" s="9">
        <v>4300</v>
      </c>
      <c r="F2" s="16">
        <v>4.8581</v>
      </c>
      <c r="G2" s="9">
        <v>5.17</v>
      </c>
      <c r="H2" s="9" t="s">
        <v>75</v>
      </c>
      <c r="I2" s="14">
        <v>0</v>
      </c>
      <c r="J2" s="9">
        <f>E2*(G2-F2)-I2</f>
        <v>1341.17</v>
      </c>
      <c r="K2" s="9">
        <v>1308.3</v>
      </c>
      <c r="L2" s="19">
        <f>SUM(K2:K4)</f>
        <v>9745.52</v>
      </c>
      <c r="M2" s="19">
        <f>SUM(L2)</f>
        <v>9745.52</v>
      </c>
    </row>
    <row r="3" spans="1:13">
      <c r="A3" s="17">
        <v>2</v>
      </c>
      <c r="B3" s="18">
        <v>46190</v>
      </c>
      <c r="C3" s="9">
        <v>600172</v>
      </c>
      <c r="D3" s="14" t="s">
        <v>52</v>
      </c>
      <c r="E3" s="9">
        <v>600</v>
      </c>
      <c r="F3" s="16">
        <v>12.2123</v>
      </c>
      <c r="G3" s="9">
        <v>13</v>
      </c>
      <c r="H3" s="9" t="s">
        <v>75</v>
      </c>
      <c r="I3" s="14">
        <v>0</v>
      </c>
      <c r="J3" s="9">
        <f t="shared" ref="J3:J9" si="0">E3*(G3-F3)-I3</f>
        <v>472.619999999999</v>
      </c>
      <c r="K3" s="9">
        <v>460.95</v>
      </c>
      <c r="L3" s="20"/>
      <c r="M3" s="20"/>
    </row>
    <row r="4" spans="1:13">
      <c r="A4" s="17">
        <v>3</v>
      </c>
      <c r="B4" s="18">
        <v>46199</v>
      </c>
      <c r="C4" s="14">
        <v>601066</v>
      </c>
      <c r="D4" s="14" t="s">
        <v>43</v>
      </c>
      <c r="E4" s="9">
        <v>2400</v>
      </c>
      <c r="F4" s="9">
        <v>27.6302</v>
      </c>
      <c r="G4" s="9">
        <v>31</v>
      </c>
      <c r="H4" s="9" t="s">
        <v>76</v>
      </c>
      <c r="I4" s="14">
        <v>111.25</v>
      </c>
      <c r="J4" s="9">
        <f t="shared" si="0"/>
        <v>7976.27</v>
      </c>
      <c r="K4" s="9">
        <v>7976.27</v>
      </c>
      <c r="L4" s="21"/>
      <c r="M4" s="21"/>
    </row>
    <row r="5" spans="1:13">
      <c r="A5" s="17">
        <v>4</v>
      </c>
      <c r="B5" s="18">
        <v>46213</v>
      </c>
      <c r="C5" s="9">
        <v>600360</v>
      </c>
      <c r="D5" s="14" t="s">
        <v>57</v>
      </c>
      <c r="E5" s="9">
        <v>1300</v>
      </c>
      <c r="F5" s="14">
        <v>14.6146</v>
      </c>
      <c r="G5" s="9">
        <v>17.59</v>
      </c>
      <c r="H5" s="9" t="s">
        <v>77</v>
      </c>
      <c r="I5" s="14"/>
      <c r="J5" s="9">
        <f t="shared" si="0"/>
        <v>3868.02</v>
      </c>
      <c r="K5" s="9">
        <v>3868.02</v>
      </c>
      <c r="L5" s="9"/>
      <c r="M5" s="9"/>
    </row>
    <row r="6" spans="1:13">
      <c r="A6" s="17">
        <v>5</v>
      </c>
      <c r="B6" s="18">
        <v>46213</v>
      </c>
      <c r="C6" s="9">
        <v>600745</v>
      </c>
      <c r="D6" s="17" t="s">
        <v>54</v>
      </c>
      <c r="E6" s="9">
        <v>600</v>
      </c>
      <c r="F6" s="9">
        <v>18.65</v>
      </c>
      <c r="G6" s="9">
        <v>21.24</v>
      </c>
      <c r="H6" s="22" t="s">
        <v>78</v>
      </c>
      <c r="I6" s="14">
        <v>19.06</v>
      </c>
      <c r="J6" s="9">
        <f t="shared" si="0"/>
        <v>1534.94</v>
      </c>
      <c r="K6" s="9">
        <v>1534.94</v>
      </c>
      <c r="L6" s="9"/>
      <c r="M6" s="9"/>
    </row>
    <row r="7" spans="1:13">
      <c r="A7" s="17">
        <v>6</v>
      </c>
      <c r="B7" s="9"/>
      <c r="C7" s="9"/>
      <c r="D7" s="14"/>
      <c r="E7" s="9"/>
      <c r="F7" s="9"/>
      <c r="G7" s="9"/>
      <c r="H7" s="9"/>
      <c r="I7" s="14"/>
      <c r="J7" s="9">
        <f t="shared" si="0"/>
        <v>0</v>
      </c>
      <c r="K7" s="9"/>
      <c r="L7" s="9"/>
      <c r="M7" s="9"/>
    </row>
    <row r="8" spans="1:13">
      <c r="A8" s="17">
        <v>7</v>
      </c>
      <c r="B8" s="9"/>
      <c r="C8" s="9"/>
      <c r="D8" s="14"/>
      <c r="E8" s="9"/>
      <c r="F8" s="9"/>
      <c r="G8" s="9"/>
      <c r="H8" s="9"/>
      <c r="I8" s="14"/>
      <c r="J8" s="9">
        <f t="shared" si="0"/>
        <v>0</v>
      </c>
      <c r="K8" s="9"/>
      <c r="L8" s="9"/>
      <c r="M8" s="9"/>
    </row>
    <row r="9" spans="1:13">
      <c r="A9" s="17">
        <v>8</v>
      </c>
      <c r="B9" s="9"/>
      <c r="C9" s="9"/>
      <c r="D9" s="14"/>
      <c r="E9" s="9"/>
      <c r="F9" s="9"/>
      <c r="G9" s="9"/>
      <c r="H9" s="9"/>
      <c r="I9" s="14"/>
      <c r="J9" s="9">
        <f t="shared" si="0"/>
        <v>0</v>
      </c>
      <c r="K9" s="9"/>
      <c r="L9" s="9"/>
      <c r="M9" s="9"/>
    </row>
    <row r="10" spans="1:13">
      <c r="A10" s="17" t="s">
        <v>79</v>
      </c>
      <c r="B10" s="17"/>
      <c r="C10" s="17"/>
      <c r="D10" s="14"/>
      <c r="E10" s="17"/>
      <c r="F10" s="17"/>
      <c r="G10" s="17"/>
      <c r="H10" s="17"/>
      <c r="I10" s="14"/>
      <c r="J10" s="17"/>
      <c r="K10" s="9">
        <f>SUM(K2:K9)</f>
        <v>15148.48</v>
      </c>
      <c r="L10" s="9"/>
      <c r="M10" s="9"/>
    </row>
  </sheetData>
  <autoFilter xmlns:etc="http://www.wps.cn/officeDocument/2017/etCustomData" ref="C1:D6" etc:filterBottomFollowUsedRange="0">
    <extLst/>
  </autoFilter>
  <mergeCells count="3">
    <mergeCell ref="A10:J10"/>
    <mergeCell ref="L2:L4"/>
    <mergeCell ref="M2:M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5" sqref="F5"/>
    </sheetView>
  </sheetViews>
  <sheetFormatPr defaultColWidth="9" defaultRowHeight="14.4" outlineLevelCol="4"/>
  <cols>
    <col min="5" max="5" width="12.8703703703704" style="15" customWidth="1"/>
  </cols>
  <sheetData>
    <row r="1" spans="1:5">
      <c r="A1" t="s">
        <v>7</v>
      </c>
      <c r="B1" t="s">
        <v>8</v>
      </c>
      <c r="C1" t="s">
        <v>9</v>
      </c>
      <c r="D1" t="s">
        <v>80</v>
      </c>
      <c r="E1" s="15" t="s">
        <v>81</v>
      </c>
    </row>
    <row r="2" spans="1:5">
      <c r="A2">
        <v>1</v>
      </c>
      <c r="B2" s="64" t="s">
        <v>25</v>
      </c>
      <c r="C2" s="16" t="s">
        <v>26</v>
      </c>
      <c r="D2" s="15">
        <v>5.13</v>
      </c>
      <c r="E2" s="15" t="s">
        <v>82</v>
      </c>
    </row>
    <row r="3" spans="1:5">
      <c r="A3">
        <v>2</v>
      </c>
      <c r="B3">
        <v>601398</v>
      </c>
      <c r="C3" t="s">
        <v>63</v>
      </c>
      <c r="D3" s="15">
        <v>7.16</v>
      </c>
      <c r="E3" s="15">
        <v>7</v>
      </c>
    </row>
    <row r="4" spans="1:5">
      <c r="A4">
        <v>3</v>
      </c>
      <c r="B4">
        <v>600115</v>
      </c>
      <c r="C4" t="s">
        <v>56</v>
      </c>
      <c r="D4">
        <v>3.93</v>
      </c>
      <c r="E4" s="15">
        <v>3.5</v>
      </c>
    </row>
    <row r="5" spans="1:5">
      <c r="A5">
        <v>4</v>
      </c>
      <c r="B5">
        <v>600982</v>
      </c>
      <c r="C5" t="s">
        <v>83</v>
      </c>
      <c r="D5">
        <v>5.02</v>
      </c>
      <c r="E5" s="15" t="s">
        <v>84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  <row r="14" spans="1:5">
      <c r="A14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workbookViewId="0">
      <selection activeCell="A83" sqref="A83:D83"/>
    </sheetView>
  </sheetViews>
  <sheetFormatPr defaultColWidth="8.73148148148148" defaultRowHeight="14.4"/>
  <cols>
    <col min="1" max="1" width="9.5462962962963" customWidth="1"/>
    <col min="2" max="2" width="8.5462962962963" customWidth="1"/>
    <col min="3" max="3" width="5.5462962962963" customWidth="1"/>
    <col min="4" max="4" width="7.5462962962963" customWidth="1"/>
    <col min="6" max="6" width="8.73148148148148" style="1"/>
    <col min="7" max="7" width="10.6388888888889" customWidth="1"/>
    <col min="12" max="12" width="8.73148148148148" style="1"/>
    <col min="13" max="13" width="10.6388888888889" customWidth="1"/>
  </cols>
  <sheetData>
    <row r="1" spans="1:12">
      <c r="A1" s="2">
        <v>1</v>
      </c>
      <c r="B1" s="2"/>
      <c r="C1" s="2"/>
      <c r="D1" s="2"/>
      <c r="E1" s="2"/>
      <c r="F1" s="3"/>
      <c r="L1" s="3"/>
    </row>
    <row r="2" spans="1:12">
      <c r="A2" s="2" t="s">
        <v>85</v>
      </c>
      <c r="B2" s="2"/>
      <c r="C2" s="2"/>
      <c r="D2" s="2"/>
      <c r="E2" s="2"/>
      <c r="F2" s="3"/>
      <c r="L2" s="3"/>
    </row>
    <row r="3" spans="1:12">
      <c r="A3" s="4" t="s">
        <v>86</v>
      </c>
      <c r="B3" s="4" t="s">
        <v>11</v>
      </c>
      <c r="C3" s="4" t="s">
        <v>12</v>
      </c>
      <c r="D3" s="4" t="s">
        <v>14</v>
      </c>
      <c r="E3" s="4" t="s">
        <v>87</v>
      </c>
      <c r="F3" s="3"/>
      <c r="L3" s="3"/>
    </row>
    <row r="4" spans="1:12">
      <c r="A4" s="5">
        <v>46182</v>
      </c>
      <c r="B4" s="6">
        <v>18.3681</v>
      </c>
      <c r="C4" s="6">
        <v>1000</v>
      </c>
      <c r="D4" s="4" t="s">
        <v>88</v>
      </c>
      <c r="E4" s="4" t="s">
        <v>20</v>
      </c>
      <c r="F4" s="3"/>
      <c r="L4" s="3"/>
    </row>
    <row r="5" spans="1:12">
      <c r="A5" s="7">
        <v>46234</v>
      </c>
      <c r="B5" s="4">
        <v>7.9</v>
      </c>
      <c r="C5" s="4">
        <v>500</v>
      </c>
      <c r="D5" s="4"/>
      <c r="E5" s="4" t="s">
        <v>22</v>
      </c>
      <c r="F5" s="3"/>
      <c r="L5" s="3"/>
    </row>
    <row r="6" spans="1:12">
      <c r="A6" s="7">
        <v>46239</v>
      </c>
      <c r="B6" s="4">
        <v>8.6</v>
      </c>
      <c r="C6" s="4">
        <v>500</v>
      </c>
      <c r="D6" s="4"/>
      <c r="E6" s="4"/>
      <c r="F6" s="3"/>
      <c r="L6" s="3"/>
    </row>
    <row r="7" spans="1:12">
      <c r="A7" s="4"/>
      <c r="B7" s="4"/>
      <c r="C7" s="4"/>
      <c r="D7" s="4"/>
      <c r="E7" s="4"/>
      <c r="F7" s="3"/>
      <c r="L7" s="3"/>
    </row>
    <row r="8" spans="1:12">
      <c r="A8" s="2">
        <v>2</v>
      </c>
      <c r="B8" s="2"/>
      <c r="C8" s="2"/>
      <c r="D8" s="2"/>
      <c r="E8" s="2"/>
      <c r="F8" s="3"/>
      <c r="L8" s="3"/>
    </row>
    <row r="9" spans="1:12">
      <c r="A9" s="2" t="s">
        <v>43</v>
      </c>
      <c r="B9" s="2"/>
      <c r="C9" s="2"/>
      <c r="D9" s="2"/>
      <c r="E9" s="2"/>
      <c r="F9" s="3"/>
      <c r="L9" s="3"/>
    </row>
    <row r="10" spans="1:12">
      <c r="A10" s="4" t="s">
        <v>86</v>
      </c>
      <c r="B10" s="4" t="s">
        <v>11</v>
      </c>
      <c r="C10" s="4" t="s">
        <v>12</v>
      </c>
      <c r="D10" s="4" t="s">
        <v>14</v>
      </c>
      <c r="E10" s="4" t="s">
        <v>87</v>
      </c>
      <c r="F10" s="3"/>
      <c r="L10" s="3"/>
    </row>
    <row r="11" spans="1:12">
      <c r="A11" s="5">
        <v>46202</v>
      </c>
      <c r="B11" s="6">
        <v>29.3</v>
      </c>
      <c r="C11" s="6">
        <v>2000</v>
      </c>
      <c r="D11" s="4" t="s">
        <v>88</v>
      </c>
      <c r="E11" s="4" t="s">
        <v>20</v>
      </c>
      <c r="F11" s="3"/>
      <c r="L11" s="3"/>
    </row>
    <row r="12" spans="1:12">
      <c r="A12" s="7">
        <v>46234</v>
      </c>
      <c r="B12" s="4">
        <v>26.1</v>
      </c>
      <c r="C12" s="4">
        <v>1000</v>
      </c>
      <c r="D12" s="4"/>
      <c r="E12" s="4" t="s">
        <v>22</v>
      </c>
      <c r="F12" s="3"/>
      <c r="L12" s="3"/>
    </row>
    <row r="13" spans="1:12">
      <c r="A13" s="4"/>
      <c r="B13" s="4"/>
      <c r="C13" s="4"/>
      <c r="D13" s="4"/>
      <c r="E13" s="4"/>
      <c r="F13" s="3"/>
      <c r="L13" s="3"/>
    </row>
    <row r="14" spans="1:12">
      <c r="A14" s="4"/>
      <c r="B14" s="4"/>
      <c r="C14" s="4"/>
      <c r="D14" s="4"/>
      <c r="E14" s="4"/>
      <c r="F14" s="3"/>
      <c r="L14" s="3"/>
    </row>
    <row r="15" spans="1:12">
      <c r="A15" s="2">
        <v>3</v>
      </c>
      <c r="B15" s="2"/>
      <c r="C15" s="2"/>
      <c r="D15" s="2"/>
      <c r="E15" s="2"/>
      <c r="F15" s="3"/>
      <c r="L15" s="3"/>
    </row>
    <row r="16" spans="1:12">
      <c r="A16" s="2" t="s">
        <v>30</v>
      </c>
      <c r="B16" s="2"/>
      <c r="C16" s="2"/>
      <c r="D16" s="2"/>
      <c r="E16" s="2"/>
      <c r="F16" s="3"/>
      <c r="L16" s="3"/>
    </row>
    <row r="17" spans="1:12">
      <c r="A17" s="4" t="s">
        <v>86</v>
      </c>
      <c r="B17" s="4" t="s">
        <v>11</v>
      </c>
      <c r="C17" s="4" t="s">
        <v>12</v>
      </c>
      <c r="D17" s="4" t="s">
        <v>14</v>
      </c>
      <c r="E17" s="4" t="s">
        <v>87</v>
      </c>
      <c r="F17" s="3"/>
      <c r="L17" s="3"/>
    </row>
    <row r="18" spans="1:12">
      <c r="A18" s="5">
        <v>46182</v>
      </c>
      <c r="B18" s="6">
        <v>10.9008</v>
      </c>
      <c r="C18" s="6">
        <v>1000</v>
      </c>
      <c r="D18" s="4" t="s">
        <v>88</v>
      </c>
      <c r="E18" s="4" t="s">
        <v>20</v>
      </c>
      <c r="F18" s="3"/>
      <c r="L18" s="3"/>
    </row>
    <row r="19" spans="1:12">
      <c r="A19" s="7">
        <v>46234</v>
      </c>
      <c r="B19" s="4">
        <v>8.1</v>
      </c>
      <c r="C19" s="4">
        <v>500</v>
      </c>
      <c r="D19" s="4"/>
      <c r="E19" s="4" t="s">
        <v>22</v>
      </c>
      <c r="F19" s="3"/>
      <c r="L19" s="3"/>
    </row>
    <row r="20" spans="1:12">
      <c r="A20" s="4"/>
      <c r="B20" s="4"/>
      <c r="C20" s="4"/>
      <c r="D20" s="4"/>
      <c r="E20" s="4"/>
      <c r="F20" s="3"/>
      <c r="L20" s="3"/>
    </row>
    <row r="21" spans="1:12">
      <c r="A21" s="2">
        <v>4</v>
      </c>
      <c r="B21" s="2"/>
      <c r="C21" s="2"/>
      <c r="D21" s="2"/>
      <c r="E21" s="2"/>
      <c r="F21" s="3"/>
      <c r="L21" s="8"/>
    </row>
    <row r="22" spans="1:12">
      <c r="A22" s="2" t="s">
        <v>37</v>
      </c>
      <c r="B22" s="2"/>
      <c r="C22" s="2"/>
      <c r="D22" s="2"/>
      <c r="E22" s="2"/>
      <c r="F22" s="3"/>
      <c r="L22" s="3"/>
    </row>
    <row r="23" spans="1:12">
      <c r="A23" s="4" t="s">
        <v>86</v>
      </c>
      <c r="B23" s="4" t="s">
        <v>11</v>
      </c>
      <c r="C23" s="4" t="s">
        <v>12</v>
      </c>
      <c r="D23" s="4" t="s">
        <v>14</v>
      </c>
      <c r="E23" s="4" t="s">
        <v>87</v>
      </c>
      <c r="F23" s="3"/>
      <c r="L23" s="3"/>
    </row>
    <row r="24" spans="1:12">
      <c r="A24" s="5">
        <v>46182</v>
      </c>
      <c r="B24" s="6">
        <v>20.6888</v>
      </c>
      <c r="C24" s="6">
        <v>900</v>
      </c>
      <c r="D24" s="4" t="s">
        <v>88</v>
      </c>
      <c r="E24" s="4" t="s">
        <v>20</v>
      </c>
      <c r="F24" s="3"/>
      <c r="L24" s="3"/>
    </row>
    <row r="25" spans="1:12">
      <c r="A25" s="7">
        <v>46234</v>
      </c>
      <c r="B25" s="4">
        <v>12.6</v>
      </c>
      <c r="C25" s="4">
        <v>700</v>
      </c>
      <c r="D25" s="4"/>
      <c r="E25" s="4" t="s">
        <v>22</v>
      </c>
      <c r="F25" s="3"/>
      <c r="L25" s="3"/>
    </row>
    <row r="26" spans="1:12">
      <c r="A26" s="4"/>
      <c r="B26" s="4"/>
      <c r="C26" s="4"/>
      <c r="D26" s="4"/>
      <c r="E26" s="4"/>
      <c r="F26" s="3"/>
      <c r="L26" s="3"/>
    </row>
    <row r="27" spans="1:12">
      <c r="A27" s="2">
        <v>5</v>
      </c>
      <c r="B27" s="2"/>
      <c r="C27" s="2"/>
      <c r="D27" s="2"/>
      <c r="E27" s="2"/>
      <c r="F27" s="3"/>
      <c r="L27" s="3"/>
    </row>
    <row r="28" spans="1:12">
      <c r="A28" s="2" t="s">
        <v>35</v>
      </c>
      <c r="B28" s="2"/>
      <c r="C28" s="2"/>
      <c r="D28" s="2"/>
      <c r="E28" s="2"/>
      <c r="F28" s="3"/>
      <c r="L28" s="3"/>
    </row>
    <row r="29" spans="1:12">
      <c r="A29" s="4" t="s">
        <v>86</v>
      </c>
      <c r="B29" s="4" t="s">
        <v>11</v>
      </c>
      <c r="C29" s="4" t="s">
        <v>12</v>
      </c>
      <c r="D29" s="4" t="s">
        <v>14</v>
      </c>
      <c r="E29" s="4" t="s">
        <v>87</v>
      </c>
      <c r="F29" s="3"/>
      <c r="L29" s="3"/>
    </row>
    <row r="30" spans="1:12">
      <c r="A30" s="5">
        <v>46182</v>
      </c>
      <c r="B30" s="6">
        <v>20.12</v>
      </c>
      <c r="C30" s="6">
        <v>700</v>
      </c>
      <c r="D30" s="4" t="s">
        <v>88</v>
      </c>
      <c r="E30" s="4" t="s">
        <v>20</v>
      </c>
      <c r="F30" s="3"/>
      <c r="L30" s="3"/>
    </row>
    <row r="31" spans="1:12">
      <c r="A31" s="7">
        <v>46234</v>
      </c>
      <c r="B31" s="9">
        <v>13.5</v>
      </c>
      <c r="C31" s="9">
        <v>400</v>
      </c>
      <c r="D31" s="9"/>
      <c r="E31" s="9"/>
    </row>
    <row r="32" spans="1:12">
      <c r="A32" s="7">
        <v>46238</v>
      </c>
      <c r="B32" s="9">
        <v>14.4</v>
      </c>
      <c r="C32" s="9">
        <v>700</v>
      </c>
      <c r="D32" s="9"/>
      <c r="E32" s="9"/>
    </row>
    <row r="33" spans="1:5">
      <c r="A33" s="2">
        <v>6</v>
      </c>
      <c r="B33" s="2"/>
      <c r="C33" s="2"/>
      <c r="D33" s="2"/>
      <c r="E33" s="2"/>
    </row>
    <row r="34" spans="1:5">
      <c r="A34" s="2" t="s">
        <v>56</v>
      </c>
      <c r="B34" s="2"/>
      <c r="C34" s="2"/>
      <c r="D34" s="2"/>
      <c r="E34" s="2"/>
    </row>
    <row r="35" spans="1:5">
      <c r="A35" s="4" t="s">
        <v>86</v>
      </c>
      <c r="B35" s="4" t="s">
        <v>11</v>
      </c>
      <c r="C35" s="4" t="s">
        <v>12</v>
      </c>
      <c r="D35" s="4" t="s">
        <v>14</v>
      </c>
      <c r="E35" s="4" t="s">
        <v>87</v>
      </c>
    </row>
    <row r="36" spans="1:5">
      <c r="A36" s="5">
        <v>46203</v>
      </c>
      <c r="B36" s="6">
        <v>3.7838</v>
      </c>
      <c r="C36" s="6">
        <v>3200</v>
      </c>
      <c r="D36" s="4" t="s">
        <v>88</v>
      </c>
      <c r="E36" s="4" t="s">
        <v>20</v>
      </c>
    </row>
    <row r="37" spans="1:5">
      <c r="A37" s="7">
        <v>46234</v>
      </c>
      <c r="B37" s="4">
        <v>3.7</v>
      </c>
      <c r="C37" s="4">
        <v>2000</v>
      </c>
      <c r="D37" s="4"/>
      <c r="E37" s="4" t="s">
        <v>22</v>
      </c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2">
        <v>7</v>
      </c>
      <c r="B40" s="2"/>
      <c r="C40" s="2"/>
      <c r="D40" s="2"/>
      <c r="E40" s="2"/>
    </row>
    <row r="41" spans="1:5">
      <c r="A41" s="2" t="s">
        <v>57</v>
      </c>
      <c r="B41" s="2"/>
      <c r="C41" s="2"/>
      <c r="D41" s="2"/>
      <c r="E41" s="2"/>
    </row>
    <row r="42" spans="1:5">
      <c r="A42" s="4" t="s">
        <v>86</v>
      </c>
      <c r="B42" s="4" t="s">
        <v>11</v>
      </c>
      <c r="C42" s="4" t="s">
        <v>12</v>
      </c>
      <c r="D42" s="4" t="s">
        <v>14</v>
      </c>
      <c r="E42" s="4" t="s">
        <v>87</v>
      </c>
    </row>
    <row r="43" spans="1:5">
      <c r="A43" s="5">
        <v>46203</v>
      </c>
      <c r="B43" s="6">
        <v>14.6146</v>
      </c>
      <c r="C43" s="6">
        <v>1000</v>
      </c>
      <c r="D43" s="4" t="s">
        <v>88</v>
      </c>
      <c r="E43" s="4" t="s">
        <v>20</v>
      </c>
    </row>
    <row r="44" spans="1:5">
      <c r="A44" s="7">
        <v>46234</v>
      </c>
      <c r="B44" s="4">
        <v>9.6</v>
      </c>
      <c r="C44" s="4">
        <v>500</v>
      </c>
      <c r="D44" s="4"/>
      <c r="E44" s="4" t="s">
        <v>22</v>
      </c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2">
        <v>8</v>
      </c>
      <c r="B47" s="2"/>
      <c r="C47" s="2"/>
      <c r="D47" s="2"/>
      <c r="E47" s="2"/>
    </row>
    <row r="48" spans="1:5">
      <c r="A48" s="2" t="s">
        <v>89</v>
      </c>
      <c r="B48" s="2"/>
      <c r="C48" s="2"/>
      <c r="D48" s="2"/>
      <c r="E48" s="2"/>
    </row>
    <row r="49" spans="1:5">
      <c r="A49" s="4" t="s">
        <v>86</v>
      </c>
      <c r="B49" s="4" t="s">
        <v>11</v>
      </c>
      <c r="C49" s="4" t="s">
        <v>12</v>
      </c>
      <c r="D49" s="4" t="s">
        <v>14</v>
      </c>
      <c r="E49" s="4" t="s">
        <v>87</v>
      </c>
    </row>
    <row r="50" spans="1:5">
      <c r="A50" s="5">
        <v>46204</v>
      </c>
      <c r="B50" s="6">
        <v>8.5585</v>
      </c>
      <c r="C50" s="6">
        <v>1700</v>
      </c>
      <c r="D50" s="4" t="s">
        <v>88</v>
      </c>
      <c r="E50" s="4" t="s">
        <v>20</v>
      </c>
    </row>
    <row r="51" spans="1:5">
      <c r="A51" s="7">
        <v>46234</v>
      </c>
      <c r="B51" s="4">
        <v>5.65</v>
      </c>
      <c r="C51" s="4">
        <v>1000</v>
      </c>
      <c r="D51" s="4"/>
      <c r="E51" s="4" t="s">
        <v>22</v>
      </c>
    </row>
    <row r="52" spans="1:5">
      <c r="A52" s="4"/>
      <c r="B52" s="4"/>
      <c r="C52" s="4"/>
      <c r="D52" s="4"/>
      <c r="E52" s="4"/>
    </row>
    <row r="53" spans="1:5">
      <c r="A53" s="2">
        <v>9</v>
      </c>
      <c r="B53" s="2"/>
      <c r="C53" s="2"/>
      <c r="D53" s="2"/>
      <c r="E53" s="2"/>
    </row>
    <row r="54" spans="1:5">
      <c r="A54" s="2" t="s">
        <v>19</v>
      </c>
      <c r="B54" s="2"/>
      <c r="C54" s="2"/>
      <c r="D54" s="2"/>
      <c r="E54" s="2"/>
    </row>
    <row r="55" spans="1:5">
      <c r="A55" s="4" t="s">
        <v>86</v>
      </c>
      <c r="B55" s="4" t="s">
        <v>11</v>
      </c>
      <c r="C55" s="4" t="s">
        <v>12</v>
      </c>
      <c r="D55" s="4" t="s">
        <v>14</v>
      </c>
      <c r="E55" s="4" t="s">
        <v>87</v>
      </c>
    </row>
    <row r="56" spans="1:5">
      <c r="A56" s="5">
        <v>46182</v>
      </c>
      <c r="B56" s="6">
        <v>16.6114</v>
      </c>
      <c r="C56" s="6">
        <v>1600</v>
      </c>
      <c r="D56" s="4" t="s">
        <v>88</v>
      </c>
      <c r="E56" s="4" t="s">
        <v>20</v>
      </c>
    </row>
    <row r="57" spans="1:5">
      <c r="A57" s="7">
        <v>46234</v>
      </c>
      <c r="B57" s="4">
        <v>11</v>
      </c>
      <c r="C57" s="4">
        <v>1000</v>
      </c>
      <c r="D57" s="4"/>
      <c r="E57" s="4" t="s">
        <v>22</v>
      </c>
    </row>
    <row r="58" spans="1:5">
      <c r="A58" s="9"/>
      <c r="B58" s="9"/>
      <c r="C58" s="9"/>
      <c r="D58" s="9"/>
      <c r="E58" s="9"/>
    </row>
    <row r="59" spans="1:5">
      <c r="A59" s="2">
        <v>10</v>
      </c>
      <c r="B59" s="2"/>
      <c r="C59" s="2"/>
      <c r="D59" s="2"/>
      <c r="E59" s="2"/>
    </row>
    <row r="60" spans="1:5">
      <c r="A60" s="2" t="s">
        <v>50</v>
      </c>
      <c r="B60" s="2"/>
      <c r="C60" s="2"/>
      <c r="D60" s="2"/>
      <c r="E60" s="2"/>
    </row>
    <row r="61" spans="1:5">
      <c r="A61" s="4" t="s">
        <v>86</v>
      </c>
      <c r="B61" s="4" t="s">
        <v>11</v>
      </c>
      <c r="C61" s="4" t="s">
        <v>12</v>
      </c>
      <c r="D61" s="4" t="s">
        <v>14</v>
      </c>
      <c r="E61" s="4" t="s">
        <v>87</v>
      </c>
    </row>
    <row r="62" spans="1:5">
      <c r="A62" s="5">
        <v>46182</v>
      </c>
      <c r="B62" s="6">
        <v>14.9016</v>
      </c>
      <c r="C62" s="6">
        <v>3000</v>
      </c>
      <c r="D62" s="4" t="s">
        <v>88</v>
      </c>
      <c r="E62" s="4" t="s">
        <v>20</v>
      </c>
    </row>
    <row r="63" spans="1:5">
      <c r="A63" s="7">
        <v>46234</v>
      </c>
      <c r="B63" s="4">
        <v>7.8</v>
      </c>
      <c r="C63" s="4">
        <v>1000</v>
      </c>
      <c r="D63" s="4"/>
      <c r="E63" s="4" t="s">
        <v>22</v>
      </c>
    </row>
    <row r="65" spans="1:5">
      <c r="A65" s="2">
        <v>11</v>
      </c>
      <c r="B65" s="2"/>
      <c r="C65" s="2"/>
      <c r="D65" s="2"/>
      <c r="E65" s="2"/>
    </row>
    <row r="66" spans="1:5">
      <c r="A66" s="2" t="s">
        <v>41</v>
      </c>
      <c r="B66" s="2"/>
      <c r="C66" s="2"/>
      <c r="D66" s="2"/>
      <c r="E66" s="2"/>
    </row>
    <row r="67" spans="1:5">
      <c r="A67" s="4" t="s">
        <v>86</v>
      </c>
      <c r="B67" s="4" t="s">
        <v>11</v>
      </c>
      <c r="C67" s="4" t="s">
        <v>12</v>
      </c>
      <c r="D67" s="4" t="s">
        <v>14</v>
      </c>
      <c r="E67" s="4" t="s">
        <v>87</v>
      </c>
    </row>
    <row r="68" spans="1:5">
      <c r="A68" s="5">
        <v>46182</v>
      </c>
      <c r="B68" s="6">
        <v>26.27</v>
      </c>
      <c r="C68" s="6">
        <v>2300</v>
      </c>
      <c r="D68" s="4" t="s">
        <v>88</v>
      </c>
      <c r="E68" s="4" t="s">
        <v>20</v>
      </c>
    </row>
    <row r="69" spans="1:5">
      <c r="A69" s="7">
        <v>46234</v>
      </c>
      <c r="B69" s="4">
        <v>14.65</v>
      </c>
      <c r="C69" s="4">
        <v>400</v>
      </c>
      <c r="D69" s="4"/>
      <c r="E69" s="4" t="s">
        <v>22</v>
      </c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10">
        <v>12</v>
      </c>
      <c r="B72" s="11"/>
      <c r="C72" s="11"/>
      <c r="D72" s="11"/>
      <c r="E72" s="12"/>
    </row>
    <row r="73" spans="1:5">
      <c r="A73" s="10" t="s">
        <v>33</v>
      </c>
      <c r="B73" s="11"/>
      <c r="C73" s="11"/>
      <c r="D73" s="11"/>
      <c r="E73" s="12"/>
    </row>
    <row r="74" spans="1:5">
      <c r="A74" s="4" t="s">
        <v>86</v>
      </c>
      <c r="B74" s="4" t="s">
        <v>11</v>
      </c>
      <c r="C74" s="4" t="s">
        <v>12</v>
      </c>
      <c r="D74" s="4" t="s">
        <v>14</v>
      </c>
      <c r="E74" s="4" t="s">
        <v>87</v>
      </c>
    </row>
    <row r="75" spans="1:5">
      <c r="A75" s="13">
        <v>46182</v>
      </c>
      <c r="B75" s="14">
        <v>9.6507</v>
      </c>
      <c r="C75" s="14">
        <v>1000</v>
      </c>
      <c r="D75" s="4" t="s">
        <v>88</v>
      </c>
      <c r="E75" s="4" t="s">
        <v>20</v>
      </c>
    </row>
    <row r="76" spans="1:5">
      <c r="A76" s="7">
        <v>46234</v>
      </c>
      <c r="B76" s="4">
        <v>6.11</v>
      </c>
      <c r="C76" s="4">
        <v>500</v>
      </c>
      <c r="D76" s="4"/>
      <c r="E76" s="4" t="s">
        <v>22</v>
      </c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2">
        <v>13</v>
      </c>
      <c r="B79" s="2"/>
      <c r="C79" s="2"/>
      <c r="D79" s="2"/>
      <c r="E79" s="2"/>
    </row>
    <row r="80" spans="1:5">
      <c r="A80" s="2" t="s">
        <v>54</v>
      </c>
      <c r="B80" s="2"/>
      <c r="C80" s="2"/>
      <c r="D80" s="2"/>
      <c r="E80" s="2"/>
    </row>
    <row r="81" spans="1:5">
      <c r="A81" s="4" t="s">
        <v>86</v>
      </c>
      <c r="B81" s="4" t="s">
        <v>11</v>
      </c>
      <c r="C81" s="4" t="s">
        <v>12</v>
      </c>
      <c r="D81" s="4" t="s">
        <v>14</v>
      </c>
      <c r="E81" s="4" t="s">
        <v>87</v>
      </c>
    </row>
    <row r="82" spans="1:5">
      <c r="A82" s="7">
        <v>46189</v>
      </c>
      <c r="B82" s="4">
        <v>18.65</v>
      </c>
      <c r="C82" s="4">
        <v>200</v>
      </c>
      <c r="D82" s="4" t="s">
        <v>88</v>
      </c>
      <c r="E82" s="4" t="s">
        <v>20</v>
      </c>
    </row>
    <row r="83" spans="1:5">
      <c r="A83" s="7">
        <v>46234</v>
      </c>
      <c r="B83" s="4">
        <v>16.75</v>
      </c>
      <c r="C83" s="4">
        <v>100</v>
      </c>
      <c r="D83" s="4">
        <v>5.86</v>
      </c>
      <c r="E83" s="4" t="s">
        <v>22</v>
      </c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</sheetData>
  <mergeCells count="26">
    <mergeCell ref="A1:E1"/>
    <mergeCell ref="A2:E2"/>
    <mergeCell ref="A8:E8"/>
    <mergeCell ref="A9:E9"/>
    <mergeCell ref="A15:E15"/>
    <mergeCell ref="A16:E16"/>
    <mergeCell ref="A21:E21"/>
    <mergeCell ref="A22:E22"/>
    <mergeCell ref="A27:E27"/>
    <mergeCell ref="A28:E28"/>
    <mergeCell ref="A33:E33"/>
    <mergeCell ref="A34:E34"/>
    <mergeCell ref="A40:E40"/>
    <mergeCell ref="A41:E41"/>
    <mergeCell ref="A47:E47"/>
    <mergeCell ref="A48:E48"/>
    <mergeCell ref="A53:E53"/>
    <mergeCell ref="A54:E54"/>
    <mergeCell ref="A59:E59"/>
    <mergeCell ref="A60:E60"/>
    <mergeCell ref="A65:E65"/>
    <mergeCell ref="A66:E66"/>
    <mergeCell ref="A72:E72"/>
    <mergeCell ref="A73:E73"/>
    <mergeCell ref="A79:E79"/>
    <mergeCell ref="A80:E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总投入</vt:lpstr>
      <vt:lpstr>清单</vt:lpstr>
      <vt:lpstr>定投股票</vt:lpstr>
      <vt:lpstr>已出售</vt:lpstr>
      <vt:lpstr>自选股</vt:lpstr>
      <vt:lpstr>做T的股票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11456</dc:creator>
  <cp:lastModifiedBy>夜航船</cp:lastModifiedBy>
  <dcterms:created xsi:type="dcterms:W3CDTF">2026-06-09T03:37:00Z</dcterms:created>
  <dcterms:modified xsi:type="dcterms:W3CDTF">2026-08-07T06:39:10Z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009286E1F18B42E6B621D5673F1285FC_11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